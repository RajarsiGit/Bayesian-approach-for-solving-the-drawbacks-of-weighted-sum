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JARSI\Desktop\PROJECT\PLOT DATA\"/>
    </mc:Choice>
  </mc:AlternateContent>
  <xr:revisionPtr revIDLastSave="0" documentId="13_ncr:1_{1AE1BC7A-5484-470F-A66E-9BC4689EBBCB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5" i="1" l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AH45" i="1"/>
  <c r="AR44" i="1"/>
  <c r="AG44" i="1"/>
  <c r="AQ43" i="1"/>
  <c r="AP42" i="1"/>
  <c r="AI42" i="1"/>
  <c r="AH41" i="1"/>
  <c r="AR40" i="1"/>
  <c r="AG40" i="1"/>
  <c r="AQ39" i="1"/>
  <c r="AP38" i="1"/>
  <c r="AI38" i="1"/>
  <c r="AH37" i="1"/>
  <c r="AR36" i="1"/>
  <c r="AG36" i="1"/>
  <c r="AQ35" i="1"/>
  <c r="AP34" i="1"/>
  <c r="AI34" i="1"/>
  <c r="AH33" i="1"/>
  <c r="AR32" i="1"/>
  <c r="AG32" i="1"/>
  <c r="AQ31" i="1"/>
  <c r="AP30" i="1"/>
  <c r="AI30" i="1"/>
  <c r="AH29" i="1"/>
  <c r="AR45" i="1"/>
  <c r="AN45" i="1"/>
  <c r="AG45" i="1"/>
  <c r="AQ44" i="1"/>
  <c r="AM44" i="1"/>
  <c r="AP43" i="1"/>
  <c r="AI43" i="1"/>
  <c r="AO42" i="1"/>
  <c r="AH42" i="1"/>
  <c r="AR41" i="1"/>
  <c r="AN41" i="1"/>
  <c r="AG41" i="1"/>
  <c r="AQ40" i="1"/>
  <c r="AM40" i="1"/>
  <c r="AP39" i="1"/>
  <c r="AI39" i="1"/>
  <c r="AO38" i="1"/>
  <c r="AH38" i="1"/>
  <c r="AR37" i="1"/>
  <c r="AN37" i="1"/>
  <c r="AG37" i="1"/>
  <c r="AQ36" i="1"/>
  <c r="AM36" i="1"/>
  <c r="AP35" i="1"/>
  <c r="AI35" i="1"/>
  <c r="AO34" i="1"/>
  <c r="AH34" i="1"/>
  <c r="AR33" i="1"/>
  <c r="AN33" i="1"/>
  <c r="AG33" i="1"/>
  <c r="AQ32" i="1"/>
  <c r="AM32" i="1"/>
  <c r="AP31" i="1"/>
  <c r="AI31" i="1"/>
  <c r="AO30" i="1"/>
  <c r="AH30" i="1"/>
  <c r="AR29" i="1"/>
  <c r="AN29" i="1"/>
  <c r="AG29" i="1"/>
  <c r="AQ45" i="1"/>
  <c r="AM45" i="1"/>
  <c r="AP44" i="1"/>
  <c r="AI44" i="1"/>
  <c r="AO43" i="1"/>
  <c r="AH43" i="1"/>
  <c r="AR42" i="1"/>
  <c r="AN42" i="1"/>
  <c r="AG42" i="1"/>
  <c r="AQ41" i="1"/>
  <c r="AM41" i="1"/>
  <c r="AP40" i="1"/>
  <c r="AI40" i="1"/>
  <c r="AO39" i="1"/>
  <c r="AH39" i="1"/>
  <c r="AR38" i="1"/>
  <c r="AN38" i="1"/>
  <c r="AG38" i="1"/>
  <c r="AQ37" i="1"/>
  <c r="AM37" i="1"/>
  <c r="AO44" i="1"/>
  <c r="AM42" i="1"/>
  <c r="AP41" i="1"/>
  <c r="AN39" i="1"/>
  <c r="AH36" i="1"/>
  <c r="AN36" i="1" s="1"/>
  <c r="AZ36" i="1" s="1"/>
  <c r="AO35" i="1"/>
  <c r="AP33" i="1"/>
  <c r="AH32" i="1"/>
  <c r="AN32" i="1" s="1"/>
  <c r="AZ32" i="1" s="1"/>
  <c r="AO31" i="1"/>
  <c r="AP29" i="1"/>
  <c r="AN34" i="1"/>
  <c r="AQ33" i="1"/>
  <c r="AI32" i="1"/>
  <c r="AR31" i="1"/>
  <c r="AN30" i="1"/>
  <c r="AQ29" i="1"/>
  <c r="BA44" i="1"/>
  <c r="AH44" i="1"/>
  <c r="AN44" i="1" s="1"/>
  <c r="AZ44" i="1" s="1"/>
  <c r="AR43" i="1"/>
  <c r="AY42" i="1"/>
  <c r="AI41" i="1"/>
  <c r="AO41" i="1" s="1"/>
  <c r="BA41" i="1" s="1"/>
  <c r="AZ39" i="1"/>
  <c r="AG39" i="1"/>
  <c r="AM39" i="1" s="1"/>
  <c r="AY39" i="1" s="1"/>
  <c r="AQ38" i="1"/>
  <c r="AP36" i="1"/>
  <c r="AR34" i="1"/>
  <c r="AG34" i="1"/>
  <c r="AM34" i="1" s="1"/>
  <c r="AM33" i="1"/>
  <c r="AP32" i="1"/>
  <c r="AR30" i="1"/>
  <c r="AG30" i="1"/>
  <c r="AM30" i="1" s="1"/>
  <c r="AM29" i="1"/>
  <c r="AP45" i="1"/>
  <c r="AN43" i="1"/>
  <c r="AO40" i="1"/>
  <c r="AM38" i="1"/>
  <c r="AP37" i="1"/>
  <c r="AH35" i="1"/>
  <c r="AN35" i="1" s="1"/>
  <c r="AY34" i="1"/>
  <c r="AQ34" i="1"/>
  <c r="AI33" i="1"/>
  <c r="AO33" i="1" s="1"/>
  <c r="AO32" i="1"/>
  <c r="BA31" i="1"/>
  <c r="AH31" i="1"/>
  <c r="AN31" i="1" s="1"/>
  <c r="AY30" i="1"/>
  <c r="AQ30" i="1"/>
  <c r="AI29" i="1"/>
  <c r="AO29" i="1" s="1"/>
  <c r="AI45" i="1"/>
  <c r="AO45" i="1" s="1"/>
  <c r="AZ43" i="1"/>
  <c r="AG43" i="1"/>
  <c r="AM43" i="1" s="1"/>
  <c r="AQ42" i="1"/>
  <c r="BA40" i="1"/>
  <c r="AH40" i="1"/>
  <c r="AN40" i="1" s="1"/>
  <c r="AR39" i="1"/>
  <c r="AY38" i="1"/>
  <c r="AI37" i="1"/>
  <c r="AO37" i="1" s="1"/>
  <c r="AI36" i="1"/>
  <c r="AO36" i="1" s="1"/>
  <c r="AZ35" i="1"/>
  <c r="AR35" i="1"/>
  <c r="AG35" i="1"/>
  <c r="AM35" i="1" s="1"/>
  <c r="AY33" i="1"/>
  <c r="AZ31" i="1"/>
  <c r="AG31" i="1"/>
  <c r="AM31" i="1" s="1"/>
  <c r="AY29" i="1"/>
  <c r="AZ45" i="1"/>
  <c r="AY44" i="1"/>
  <c r="BA42" i="1"/>
  <c r="AZ41" i="1"/>
  <c r="AY40" i="1"/>
  <c r="BA38" i="1"/>
  <c r="AZ37" i="1"/>
  <c r="AY36" i="1"/>
  <c r="BA34" i="1"/>
  <c r="AZ33" i="1"/>
  <c r="AY32" i="1"/>
  <c r="BA30" i="1"/>
  <c r="AZ29" i="1"/>
  <c r="AY45" i="1"/>
  <c r="BA43" i="1"/>
  <c r="AZ42" i="1"/>
  <c r="AY41" i="1"/>
  <c r="BA39" i="1"/>
  <c r="AZ38" i="1"/>
  <c r="AY37" i="1"/>
  <c r="AZ34" i="1"/>
  <c r="BA33" i="1"/>
  <c r="BA32" i="1"/>
  <c r="AZ30" i="1"/>
  <c r="BA29" i="1"/>
  <c r="BA45" i="1"/>
  <c r="AY43" i="1"/>
  <c r="AZ40" i="1"/>
  <c r="BA37" i="1"/>
  <c r="BA36" i="1"/>
  <c r="BA35" i="1"/>
  <c r="AY35" i="1"/>
  <c r="AY31" i="1"/>
  <c r="AU35" i="1" l="1"/>
  <c r="AU39" i="1"/>
  <c r="AT42" i="1"/>
  <c r="AT30" i="1"/>
  <c r="AT34" i="1"/>
  <c r="AS37" i="1"/>
  <c r="AS45" i="1"/>
  <c r="AU30" i="1"/>
  <c r="AS32" i="1"/>
  <c r="AU34" i="1"/>
  <c r="AS36" i="1"/>
  <c r="AT38" i="1"/>
  <c r="AU43" i="1"/>
  <c r="AT29" i="1"/>
  <c r="AU31" i="1"/>
  <c r="AT33" i="1"/>
  <c r="AS29" i="1"/>
  <c r="AS33" i="1"/>
  <c r="AS41" i="1"/>
  <c r="AT37" i="1"/>
  <c r="AU38" i="1"/>
  <c r="AS40" i="1"/>
  <c r="AT41" i="1"/>
  <c r="AU42" i="1"/>
  <c r="AS44" i="1"/>
  <c r="AT45" i="1"/>
  <c r="AU29" i="1"/>
  <c r="AS31" i="1"/>
  <c r="AT32" i="1"/>
  <c r="AU33" i="1"/>
  <c r="AS35" i="1"/>
  <c r="AT36" i="1"/>
  <c r="AU37" i="1"/>
  <c r="AS39" i="1"/>
  <c r="AT40" i="1"/>
  <c r="AU41" i="1"/>
  <c r="AS43" i="1"/>
  <c r="AT44" i="1"/>
  <c r="AU45" i="1"/>
  <c r="AS30" i="1"/>
  <c r="AT31" i="1"/>
  <c r="AU32" i="1"/>
  <c r="AS34" i="1"/>
  <c r="AT35" i="1"/>
  <c r="AU36" i="1"/>
  <c r="AS38" i="1"/>
  <c r="AT39" i="1"/>
  <c r="AU40" i="1"/>
  <c r="AS42" i="1"/>
  <c r="AT43" i="1"/>
  <c r="AU44" i="1"/>
  <c r="A15" i="1"/>
  <c r="Q15" i="1"/>
  <c r="J15" i="1"/>
  <c r="P15" i="1"/>
  <c r="I15" i="1"/>
  <c r="R15" i="1"/>
  <c r="S15" i="1"/>
  <c r="O15" i="1"/>
  <c r="H15" i="1"/>
  <c r="AA15" i="1"/>
  <c r="N15" i="1"/>
  <c r="AB15" i="1"/>
  <c r="Z15" i="1"/>
  <c r="AX35" i="1"/>
  <c r="AW34" i="1"/>
  <c r="AV32" i="1"/>
  <c r="AX43" i="1"/>
  <c r="AV29" i="1"/>
  <c r="AX38" i="1"/>
  <c r="AV44" i="1"/>
  <c r="AW32" i="1"/>
  <c r="AX37" i="1"/>
  <c r="AV43" i="1"/>
  <c r="AW31" i="1"/>
  <c r="AX36" i="1"/>
  <c r="AV42" i="1"/>
  <c r="AV36" i="1"/>
  <c r="AW41" i="1"/>
  <c r="AV35" i="1"/>
  <c r="AV34" i="1"/>
  <c r="AX44" i="1"/>
  <c r="AX30" i="1"/>
  <c r="AW37" i="1"/>
  <c r="AV31" i="1"/>
  <c r="AX41" i="1"/>
  <c r="AX40" i="1"/>
  <c r="AX39" i="1"/>
  <c r="AV37" i="1"/>
  <c r="AX34" i="1"/>
  <c r="AW29" i="1"/>
  <c r="AV33" i="1"/>
  <c r="AV40" i="1"/>
  <c r="AW45" i="1"/>
  <c r="AX33" i="1"/>
  <c r="AV39" i="1"/>
  <c r="AW44" i="1"/>
  <c r="AX32" i="1"/>
  <c r="AV38" i="1"/>
  <c r="AW43" i="1"/>
  <c r="AW42" i="1"/>
  <c r="AV45" i="1"/>
  <c r="AX31" i="1"/>
  <c r="AV41" i="1"/>
  <c r="AX29" i="1"/>
  <c r="AW40" i="1"/>
  <c r="AX45" i="1"/>
  <c r="AW39" i="1"/>
  <c r="AW30" i="1"/>
  <c r="AW38" i="1"/>
  <c r="AW33" i="1"/>
  <c r="AX42" i="1"/>
  <c r="AW36" i="1"/>
  <c r="AV30" i="1"/>
  <c r="AW35" i="1"/>
  <c r="V15" i="1" l="1"/>
  <c r="U15" i="1"/>
  <c r="T15" i="1"/>
  <c r="A18" i="1"/>
  <c r="Y15" i="1"/>
  <c r="H18" i="1"/>
  <c r="Q18" i="1"/>
  <c r="X15" i="1"/>
  <c r="R18" i="1"/>
  <c r="I18" i="1"/>
  <c r="W15" i="1"/>
  <c r="S18" i="1"/>
  <c r="O18" i="1"/>
  <c r="J18" i="1"/>
  <c r="N18" i="1"/>
  <c r="P18" i="1"/>
  <c r="AA18" i="1"/>
  <c r="Z18" i="1"/>
  <c r="AB18" i="1"/>
  <c r="V18" i="1" l="1"/>
  <c r="U18" i="1"/>
  <c r="T18" i="1"/>
  <c r="A13" i="1"/>
  <c r="Y18" i="1"/>
  <c r="H13" i="1"/>
  <c r="I13" i="1"/>
  <c r="J13" i="1"/>
  <c r="P13" i="1" s="1"/>
  <c r="O13" i="1"/>
  <c r="Q13" i="1"/>
  <c r="S13" i="1"/>
  <c r="N13" i="1"/>
  <c r="R13" i="1"/>
  <c r="X18" i="1"/>
  <c r="W18" i="1"/>
  <c r="AB13" i="1"/>
  <c r="AA13" i="1"/>
  <c r="Z13" i="1"/>
  <c r="U13" i="1" l="1"/>
  <c r="V13" i="1"/>
  <c r="T13" i="1"/>
  <c r="A17" i="1"/>
  <c r="A16" i="1"/>
  <c r="A14" i="1"/>
  <c r="A12" i="1"/>
  <c r="X13" i="1"/>
  <c r="I16" i="1"/>
  <c r="H16" i="1"/>
  <c r="O16" i="1"/>
  <c r="S16" i="1"/>
  <c r="N16" i="1"/>
  <c r="R16" i="1"/>
  <c r="J16" i="1"/>
  <c r="P16" i="1" s="1"/>
  <c r="Q16" i="1"/>
  <c r="Q14" i="1"/>
  <c r="I14" i="1"/>
  <c r="J14" i="1"/>
  <c r="O14" i="1"/>
  <c r="S14" i="1"/>
  <c r="P14" i="1"/>
  <c r="H14" i="1"/>
  <c r="N14" i="1"/>
  <c r="R14" i="1"/>
  <c r="Q12" i="1"/>
  <c r="S12" i="1"/>
  <c r="H12" i="1"/>
  <c r="N12" i="1" s="1"/>
  <c r="I12" i="1"/>
  <c r="O12" i="1" s="1"/>
  <c r="J12" i="1"/>
  <c r="P12" i="1" s="1"/>
  <c r="R12" i="1"/>
  <c r="Y13" i="1"/>
  <c r="H17" i="1"/>
  <c r="Q17" i="1"/>
  <c r="S17" i="1"/>
  <c r="I17" i="1"/>
  <c r="J17" i="1"/>
  <c r="P17" i="1" s="1"/>
  <c r="R17" i="1"/>
  <c r="O17" i="1"/>
  <c r="N17" i="1"/>
  <c r="W13" i="1"/>
  <c r="AA16" i="1"/>
  <c r="Z16" i="1"/>
  <c r="AB16" i="1"/>
  <c r="AA14" i="1"/>
  <c r="AB14" i="1"/>
  <c r="Z14" i="1"/>
  <c r="Z12" i="1"/>
  <c r="AA12" i="1"/>
  <c r="AB12" i="1"/>
  <c r="AB17" i="1"/>
  <c r="AA17" i="1"/>
  <c r="Z17" i="1"/>
  <c r="U17" i="1" l="1"/>
  <c r="V17" i="1"/>
  <c r="T17" i="1"/>
  <c r="U12" i="1"/>
  <c r="V12" i="1"/>
  <c r="T12" i="1"/>
  <c r="U14" i="1"/>
  <c r="V14" i="1"/>
  <c r="T14" i="1"/>
  <c r="T16" i="1"/>
  <c r="U16" i="1"/>
  <c r="V16" i="1"/>
  <c r="A5" i="1"/>
  <c r="A9" i="1"/>
  <c r="A11" i="1"/>
  <c r="A6" i="1"/>
  <c r="A4" i="1"/>
  <c r="A2" i="1"/>
  <c r="A10" i="1"/>
  <c r="A3" i="1"/>
  <c r="A7" i="1"/>
  <c r="A8" i="1"/>
  <c r="X17" i="1"/>
  <c r="Y12" i="1"/>
  <c r="W14" i="1"/>
  <c r="S5" i="1"/>
  <c r="J5" i="1"/>
  <c r="I5" i="1"/>
  <c r="O5" i="1" s="1"/>
  <c r="R5" i="1"/>
  <c r="H5" i="1"/>
  <c r="N5" i="1"/>
  <c r="P5" i="1"/>
  <c r="Q5" i="1"/>
  <c r="S4" i="1"/>
  <c r="J4" i="1"/>
  <c r="R4" i="1"/>
  <c r="I4" i="1"/>
  <c r="O4" i="1" s="1"/>
  <c r="H4" i="1"/>
  <c r="N4" i="1" s="1"/>
  <c r="P4" i="1"/>
  <c r="Q4" i="1"/>
  <c r="R7" i="1"/>
  <c r="J7" i="1"/>
  <c r="Q7" i="1"/>
  <c r="I7" i="1"/>
  <c r="P7" i="1"/>
  <c r="H7" i="1"/>
  <c r="N7" i="1" s="1"/>
  <c r="O7" i="1"/>
  <c r="S7" i="1"/>
  <c r="J2" i="1"/>
  <c r="I2" i="1"/>
  <c r="S3" i="1"/>
  <c r="H3" i="1"/>
  <c r="J3" i="1"/>
  <c r="Q3" i="1"/>
  <c r="N3" i="1"/>
  <c r="R3" i="1"/>
  <c r="I3" i="1"/>
  <c r="O3" i="1" s="1"/>
  <c r="P3" i="1"/>
  <c r="Y17" i="1"/>
  <c r="W12" i="1"/>
  <c r="W16" i="1"/>
  <c r="R9" i="1"/>
  <c r="H9" i="1"/>
  <c r="N9" i="1"/>
  <c r="Q9" i="1"/>
  <c r="I9" i="1"/>
  <c r="J9" i="1"/>
  <c r="P9" i="1" s="1"/>
  <c r="O9" i="1"/>
  <c r="S9" i="1"/>
  <c r="R8" i="1"/>
  <c r="J8" i="1"/>
  <c r="I8" i="1"/>
  <c r="H8" i="1"/>
  <c r="N8" i="1" s="1"/>
  <c r="P8" i="1"/>
  <c r="Q8" i="1"/>
  <c r="O8" i="1"/>
  <c r="S8" i="1"/>
  <c r="R2" i="1"/>
  <c r="P2" i="1"/>
  <c r="X12" i="1"/>
  <c r="Y16" i="1"/>
  <c r="Q2" i="1"/>
  <c r="W17" i="1"/>
  <c r="X14" i="1"/>
  <c r="X16" i="1"/>
  <c r="Q11" i="1"/>
  <c r="J11" i="1"/>
  <c r="P11" i="1"/>
  <c r="H11" i="1"/>
  <c r="S11" i="1"/>
  <c r="I11" i="1"/>
  <c r="O11" i="1" s="1"/>
  <c r="N11" i="1"/>
  <c r="R11" i="1"/>
  <c r="J10" i="1"/>
  <c r="Q10" i="1"/>
  <c r="H10" i="1"/>
  <c r="R10" i="1"/>
  <c r="P10" i="1"/>
  <c r="I10" i="1"/>
  <c r="N10" i="1"/>
  <c r="O10" i="1"/>
  <c r="S10" i="1"/>
  <c r="H2" i="1"/>
  <c r="S2" i="1"/>
  <c r="Y14" i="1"/>
  <c r="S6" i="1"/>
  <c r="H6" i="1"/>
  <c r="N6" i="1" s="1"/>
  <c r="J6" i="1"/>
  <c r="Q6" i="1"/>
  <c r="R6" i="1"/>
  <c r="I6" i="1"/>
  <c r="O6" i="1" s="1"/>
  <c r="P6" i="1"/>
  <c r="N2" i="1"/>
  <c r="AA5" i="1"/>
  <c r="Z5" i="1"/>
  <c r="AB5" i="1"/>
  <c r="AA4" i="1"/>
  <c r="Z4" i="1"/>
  <c r="AB4" i="1"/>
  <c r="AB7" i="1"/>
  <c r="Z7" i="1"/>
  <c r="AA7" i="1"/>
  <c r="Z3" i="1"/>
  <c r="AA3" i="1"/>
  <c r="AB3" i="1"/>
  <c r="Z9" i="1"/>
  <c r="AB9" i="1"/>
  <c r="AA9" i="1"/>
  <c r="Z8" i="1"/>
  <c r="AB8" i="1"/>
  <c r="AA8" i="1"/>
  <c r="AB11" i="1"/>
  <c r="AA11" i="1"/>
  <c r="Z11" i="1"/>
  <c r="AB10" i="1"/>
  <c r="Z10" i="1"/>
  <c r="AA10" i="1"/>
  <c r="Z6" i="1"/>
  <c r="AA6" i="1"/>
  <c r="AB6" i="1"/>
  <c r="U6" i="1" l="1"/>
  <c r="T6" i="1"/>
  <c r="V6" i="1"/>
  <c r="V10" i="1"/>
  <c r="U10" i="1"/>
  <c r="T10" i="1"/>
  <c r="U11" i="1"/>
  <c r="V11" i="1"/>
  <c r="T11" i="1"/>
  <c r="V8" i="1"/>
  <c r="T8" i="1"/>
  <c r="U8" i="1"/>
  <c r="V9" i="1"/>
  <c r="T9" i="1"/>
  <c r="U9" i="1"/>
  <c r="U3" i="1"/>
  <c r="T3" i="1"/>
  <c r="V3" i="1"/>
  <c r="V7" i="1"/>
  <c r="T7" i="1"/>
  <c r="U7" i="1"/>
  <c r="T4" i="1"/>
  <c r="U4" i="1"/>
  <c r="V4" i="1"/>
  <c r="T5" i="1"/>
  <c r="U5" i="1"/>
  <c r="V5" i="1"/>
  <c r="V2" i="1"/>
  <c r="T2" i="1"/>
  <c r="X6" i="1"/>
  <c r="X10" i="1"/>
  <c r="W11" i="1"/>
  <c r="X8" i="1"/>
  <c r="X3" i="1"/>
  <c r="W7" i="1"/>
  <c r="Y4" i="1"/>
  <c r="Z2" i="1"/>
  <c r="Y7" i="1"/>
  <c r="Y5" i="1"/>
  <c r="W6" i="1"/>
  <c r="W10" i="1"/>
  <c r="AB2" i="1"/>
  <c r="Y9" i="1"/>
  <c r="W3" i="1"/>
  <c r="X7" i="1"/>
  <c r="W5" i="1"/>
  <c r="Y2" i="1"/>
  <c r="X9" i="1"/>
  <c r="W2" i="1"/>
  <c r="Y6" i="1"/>
  <c r="X11" i="1"/>
  <c r="Y8" i="1"/>
  <c r="W9" i="1"/>
  <c r="Y3" i="1"/>
  <c r="W4" i="1"/>
  <c r="X5" i="1"/>
  <c r="O2" i="1"/>
  <c r="Y10" i="1"/>
  <c r="Y11" i="1"/>
  <c r="W8" i="1"/>
  <c r="X4" i="1"/>
  <c r="U2" i="1" l="1"/>
  <c r="X2" i="1"/>
  <c r="AA2" i="1"/>
</calcChain>
</file>

<file path=xl/sharedStrings.xml><?xml version="1.0" encoding="utf-8"?>
<sst xmlns="http://schemas.openxmlformats.org/spreadsheetml/2006/main" count="20" uniqueCount="10">
  <si>
    <t>Input Values</t>
  </si>
  <si>
    <t>Efficiency</t>
  </si>
  <si>
    <t>Sample
Size</t>
  </si>
  <si>
    <t>Alphas</t>
  </si>
  <si>
    <t>Bayesian Error Variance</t>
  </si>
  <si>
    <t>Frequentist Error Variance</t>
  </si>
  <si>
    <t>Bayesian Weights</t>
  </si>
  <si>
    <t>Frequentist Weights</t>
  </si>
  <si>
    <t>Difference in Error Variance</t>
  </si>
  <si>
    <t>Gain in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</si>
</sst>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99FFCC"/>
      <color rgb="FFFF9999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Gain</a:t>
            </a:r>
            <a:r>
              <a:rPr lang="en-IN" b="1" baseline="0"/>
              <a:t> in Efficiency Plot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32084979280993E-2"/>
          <c:y val="0.13919401904508619"/>
          <c:w val="0.8817488925417043"/>
          <c:h val="0.67661443673677446"/>
        </c:manualLayout>
      </c:layout>
      <c:lineChart>
        <c:grouping val="standard"/>
        <c:varyColors val="0"/>
        <c:ser>
          <c:idx val="0"/>
          <c:order val="0"/>
          <c:tx>
            <c:v>GE1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Sheet1!$W$2:$W$17</c:f>
              <c:numCache>
                <c:formatCode>General</c:formatCode>
                <c:ptCount val="16"/>
                <c:pt idx="0">
                  <c:v>0.99215002083185933</c:v>
                </c:pt>
                <c:pt idx="1">
                  <c:v>0.98659834410480696</c:v>
                </c:pt>
                <c:pt idx="2">
                  <c:v>0.98478254137343268</c:v>
                </c:pt>
                <c:pt idx="3">
                  <c:v>0.95035037282279955</c:v>
                </c:pt>
                <c:pt idx="4">
                  <c:v>0.94570648345296271</c:v>
                </c:pt>
                <c:pt idx="5">
                  <c:v>0.93065373762295067</c:v>
                </c:pt>
                <c:pt idx="6">
                  <c:v>0.92507008189495477</c:v>
                </c:pt>
                <c:pt idx="7">
                  <c:v>0.91499018197812132</c:v>
                </c:pt>
                <c:pt idx="8">
                  <c:v>0.87923408793570257</c:v>
                </c:pt>
                <c:pt idx="9">
                  <c:v>0.87834869556186257</c:v>
                </c:pt>
                <c:pt idx="10">
                  <c:v>0.77815047333153631</c:v>
                </c:pt>
                <c:pt idx="11">
                  <c:v>0.64935974781055572</c:v>
                </c:pt>
                <c:pt idx="12">
                  <c:v>0.65216842700868916</c:v>
                </c:pt>
                <c:pt idx="13">
                  <c:v>0.1742451726547882</c:v>
                </c:pt>
                <c:pt idx="14">
                  <c:v>0.29939690317029438</c:v>
                </c:pt>
                <c:pt idx="15">
                  <c:v>-0.1618782965698273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C2-4D46-A923-B3C44F3CC2AD}"/>
            </c:ext>
          </c:extLst>
        </c:ser>
        <c:ser>
          <c:idx val="1"/>
          <c:order val="1"/>
          <c:tx>
            <c:v>GE2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Sheet1!$X$2:$X$17</c:f>
              <c:numCache>
                <c:formatCode>General</c:formatCode>
                <c:ptCount val="16"/>
                <c:pt idx="0">
                  <c:v>0.99239289584115331</c:v>
                </c:pt>
                <c:pt idx="1">
                  <c:v>0.98642372794108568</c:v>
                </c:pt>
                <c:pt idx="2">
                  <c:v>0.98521187844009983</c:v>
                </c:pt>
                <c:pt idx="3">
                  <c:v>0.95044276107116943</c:v>
                </c:pt>
                <c:pt idx="4">
                  <c:v>0.9443831533565118</c:v>
                </c:pt>
                <c:pt idx="5">
                  <c:v>0.93068220783933686</c:v>
                </c:pt>
                <c:pt idx="6">
                  <c:v>0.92474948146993941</c:v>
                </c:pt>
                <c:pt idx="7">
                  <c:v>0.91537342361512941</c:v>
                </c:pt>
                <c:pt idx="8">
                  <c:v>0.88951449187187037</c:v>
                </c:pt>
                <c:pt idx="9">
                  <c:v>0.87517386089358384</c:v>
                </c:pt>
                <c:pt idx="10">
                  <c:v>0.7827267939818483</c:v>
                </c:pt>
                <c:pt idx="11">
                  <c:v>0.66416604693309356</c:v>
                </c:pt>
                <c:pt idx="12">
                  <c:v>0.66046156903927344</c:v>
                </c:pt>
                <c:pt idx="13">
                  <c:v>0.36030575944772358</c:v>
                </c:pt>
                <c:pt idx="14">
                  <c:v>0.30799189703335761</c:v>
                </c:pt>
                <c:pt idx="15">
                  <c:v>6.2880021868785191E-2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C2-4D46-A923-B3C44F3CC2AD}"/>
            </c:ext>
          </c:extLst>
        </c:ser>
        <c:ser>
          <c:idx val="2"/>
          <c:order val="2"/>
          <c:tx>
            <c:v>GE3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Sheet1!$Y$2:$Y$17</c:f>
              <c:numCache>
                <c:formatCode>General</c:formatCode>
                <c:ptCount val="16"/>
                <c:pt idx="0">
                  <c:v>0.9923715144133185</c:v>
                </c:pt>
                <c:pt idx="1">
                  <c:v>0.98595072972701037</c:v>
                </c:pt>
                <c:pt idx="2">
                  <c:v>0.98510296031181266</c:v>
                </c:pt>
                <c:pt idx="3">
                  <c:v>0.94946592010549713</c:v>
                </c:pt>
                <c:pt idx="4">
                  <c:v>0.94604708000143412</c:v>
                </c:pt>
                <c:pt idx="5">
                  <c:v>0.92939789460981914</c:v>
                </c:pt>
                <c:pt idx="6">
                  <c:v>0.92499751116749274</c:v>
                </c:pt>
                <c:pt idx="7">
                  <c:v>0.91513321085347843</c:v>
                </c:pt>
                <c:pt idx="8">
                  <c:v>0.88938106978424503</c:v>
                </c:pt>
                <c:pt idx="9">
                  <c:v>0.87845994817623951</c:v>
                </c:pt>
                <c:pt idx="10">
                  <c:v>0.78553384913609958</c:v>
                </c:pt>
                <c:pt idx="11">
                  <c:v>0.66051136933550092</c:v>
                </c:pt>
                <c:pt idx="12">
                  <c:v>0.6667373053960397</c:v>
                </c:pt>
                <c:pt idx="13">
                  <c:v>0.38671946270132923</c:v>
                </c:pt>
                <c:pt idx="14">
                  <c:v>0.30684431995335726</c:v>
                </c:pt>
                <c:pt idx="15">
                  <c:v>0.14439200450662645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C2-4D46-A923-B3C44F3CC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1280998639"/>
        <c:axId val="1688912655"/>
      </c:lineChart>
      <c:catAx>
        <c:axId val="1280998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Sample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912655"/>
        <c:crosses val="autoZero"/>
        <c:auto val="1"/>
        <c:lblAlgn val="ctr"/>
        <c:lblOffset val="100"/>
        <c:noMultiLvlLbl val="0"/>
      </c:catAx>
      <c:valAx>
        <c:axId val="168891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1" i="0" u="none" strike="noStrike" baseline="0">
                    <a:effectLst/>
                  </a:rPr>
                  <a:t>Gain in Efficiency</a:t>
                </a:r>
                <a:r>
                  <a:rPr lang="en-IN" sz="1000" b="0" i="0" u="none" strike="noStrike" baseline="0"/>
                  <a:t> 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99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Efficiency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Sheet1!$Z$2:$Z$17</c:f>
              <c:numCache>
                <c:formatCode>General</c:formatCode>
                <c:ptCount val="16"/>
                <c:pt idx="0">
                  <c:v>7.8499791681406403E-3</c:v>
                </c:pt>
                <c:pt idx="1">
                  <c:v>1.3401655895193083E-2</c:v>
                </c:pt>
                <c:pt idx="2">
                  <c:v>1.5217458626567258E-2</c:v>
                </c:pt>
                <c:pt idx="3">
                  <c:v>4.9649627177200388E-2</c:v>
                </c:pt>
                <c:pt idx="4">
                  <c:v>5.4293516547037388E-2</c:v>
                </c:pt>
                <c:pt idx="5">
                  <c:v>6.9346262377049189E-2</c:v>
                </c:pt>
                <c:pt idx="6">
                  <c:v>7.4929918105045207E-2</c:v>
                </c:pt>
                <c:pt idx="7">
                  <c:v>8.500981802187868E-2</c:v>
                </c:pt>
                <c:pt idx="8">
                  <c:v>0.12076591206429736</c:v>
                </c:pt>
                <c:pt idx="9">
                  <c:v>0.12165130443813742</c:v>
                </c:pt>
                <c:pt idx="10">
                  <c:v>0.22184952666846364</c:v>
                </c:pt>
                <c:pt idx="11">
                  <c:v>0.35064025218944433</c:v>
                </c:pt>
                <c:pt idx="12">
                  <c:v>0.34783157299131084</c:v>
                </c:pt>
                <c:pt idx="13">
                  <c:v>0.82575482734521177</c:v>
                </c:pt>
                <c:pt idx="14">
                  <c:v>0.70060309682970556</c:v>
                </c:pt>
                <c:pt idx="15">
                  <c:v>1.1618782965698273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7-469B-AA2B-334AD2F2A16A}"/>
            </c:ext>
          </c:extLst>
        </c:ser>
        <c:ser>
          <c:idx val="1"/>
          <c:order val="1"/>
          <c:tx>
            <c:v>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Sheet1!$AA$2:$AA$17</c:f>
              <c:numCache>
                <c:formatCode>General</c:formatCode>
                <c:ptCount val="16"/>
                <c:pt idx="0">
                  <c:v>7.6071041588467239E-3</c:v>
                </c:pt>
                <c:pt idx="1">
                  <c:v>1.357627205891424E-2</c:v>
                </c:pt>
                <c:pt idx="2">
                  <c:v>1.4788121559900251E-2</c:v>
                </c:pt>
                <c:pt idx="3">
                  <c:v>4.9557238928830592E-2</c:v>
                </c:pt>
                <c:pt idx="4">
                  <c:v>5.5616846643488149E-2</c:v>
                </c:pt>
                <c:pt idx="5">
                  <c:v>6.9317792160663097E-2</c:v>
                </c:pt>
                <c:pt idx="6">
                  <c:v>7.5250518530060567E-2</c:v>
                </c:pt>
                <c:pt idx="7">
                  <c:v>8.4626576384870547E-2</c:v>
                </c:pt>
                <c:pt idx="8">
                  <c:v>0.11048550812812964</c:v>
                </c:pt>
                <c:pt idx="9">
                  <c:v>0.12482613910641607</c:v>
                </c:pt>
                <c:pt idx="10">
                  <c:v>0.21727320601815178</c:v>
                </c:pt>
                <c:pt idx="11">
                  <c:v>0.33583395306690644</c:v>
                </c:pt>
                <c:pt idx="12">
                  <c:v>0.33953843096072656</c:v>
                </c:pt>
                <c:pt idx="13">
                  <c:v>0.63969424055227642</c:v>
                </c:pt>
                <c:pt idx="14">
                  <c:v>0.69200810296664239</c:v>
                </c:pt>
                <c:pt idx="15">
                  <c:v>0.93711997813121484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7-469B-AA2B-334AD2F2A16A}"/>
            </c:ext>
          </c:extLst>
        </c:ser>
        <c:ser>
          <c:idx val="2"/>
          <c:order val="2"/>
          <c:tx>
            <c:v>E3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Sheet1!$AB$2:$AB$17</c:f>
              <c:numCache>
                <c:formatCode>General</c:formatCode>
                <c:ptCount val="16"/>
                <c:pt idx="0">
                  <c:v>7.6284855866815349E-3</c:v>
                </c:pt>
                <c:pt idx="1">
                  <c:v>1.4049270272989507E-2</c:v>
                </c:pt>
                <c:pt idx="2">
                  <c:v>1.4897039688187324E-2</c:v>
                </c:pt>
                <c:pt idx="3">
                  <c:v>5.0534079894502884E-2</c:v>
                </c:pt>
                <c:pt idx="4">
                  <c:v>5.3952919998565843E-2</c:v>
                </c:pt>
                <c:pt idx="5">
                  <c:v>7.0602105390180817E-2</c:v>
                </c:pt>
                <c:pt idx="6">
                  <c:v>7.5002488832507333E-2</c:v>
                </c:pt>
                <c:pt idx="7">
                  <c:v>8.4866789146521557E-2</c:v>
                </c:pt>
                <c:pt idx="8">
                  <c:v>0.11061893021575499</c:v>
                </c:pt>
                <c:pt idx="9">
                  <c:v>0.12154005182376058</c:v>
                </c:pt>
                <c:pt idx="10">
                  <c:v>0.21446615086390047</c:v>
                </c:pt>
                <c:pt idx="11">
                  <c:v>0.33948863066449914</c:v>
                </c:pt>
                <c:pt idx="12">
                  <c:v>0.33326269460396019</c:v>
                </c:pt>
                <c:pt idx="13">
                  <c:v>0.61328053729867071</c:v>
                </c:pt>
                <c:pt idx="14">
                  <c:v>0.69315568004664274</c:v>
                </c:pt>
                <c:pt idx="15">
                  <c:v>0.85560799549337352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17-469B-AA2B-334AD2F2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1689905215"/>
        <c:axId val="1781548975"/>
      </c:lineChart>
      <c:catAx>
        <c:axId val="16899052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Sample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548975"/>
        <c:crosses val="autoZero"/>
        <c:auto val="1"/>
        <c:lblAlgn val="ctr"/>
        <c:lblOffset val="100"/>
        <c:noMultiLvlLbl val="0"/>
      </c:catAx>
      <c:valAx>
        <c:axId val="178154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905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Sheet1!$T$2:$T$17</c:f>
              <c:numCache>
                <c:formatCode>General</c:formatCode>
                <c:ptCount val="16"/>
                <c:pt idx="0">
                  <c:v>1.0582933555539834E-2</c:v>
                </c:pt>
                <c:pt idx="1">
                  <c:v>9.2493594759825645E-3</c:v>
                </c:pt>
                <c:pt idx="2">
                  <c:v>1.042097927379294E-2</c:v>
                </c:pt>
                <c:pt idx="3">
                  <c:v>4.8494333064292147E-3</c:v>
                </c:pt>
                <c:pt idx="4">
                  <c:v>5.9106655215810169E-3</c:v>
                </c:pt>
                <c:pt idx="5">
                  <c:v>4.0443224153491192E-3</c:v>
                </c:pt>
                <c:pt idx="6">
                  <c:v>3.5283872786415543E-3</c:v>
                </c:pt>
                <c:pt idx="7">
                  <c:v>4.1064759367178084E-3</c:v>
                </c:pt>
                <c:pt idx="8">
                  <c:v>5.2224300957880306E-4</c:v>
                </c:pt>
                <c:pt idx="9">
                  <c:v>2.8627661188682929E-3</c:v>
                </c:pt>
                <c:pt idx="10">
                  <c:v>1.8237901718707883E-3</c:v>
                </c:pt>
                <c:pt idx="11">
                  <c:v>1.0389755964968894E-3</c:v>
                </c:pt>
                <c:pt idx="12">
                  <c:v>1.1549902842323885E-3</c:v>
                </c:pt>
                <c:pt idx="13">
                  <c:v>8.8525718973118017E-5</c:v>
                </c:pt>
                <c:pt idx="14">
                  <c:v>4.1527629174634834E-4</c:v>
                </c:pt>
                <c:pt idx="15">
                  <c:v>-1.0218485727429122E-4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0-4A4F-BEE5-12B7F013384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Sheet1!$U$2:$U$17</c:f>
              <c:numCache>
                <c:formatCode>General</c:formatCode>
                <c:ptCount val="16"/>
                <c:pt idx="0">
                  <c:v>1.4702116975424494E-2</c:v>
                </c:pt>
                <c:pt idx="1">
                  <c:v>1.2330296599263572E-2</c:v>
                </c:pt>
                <c:pt idx="2">
                  <c:v>1.042552252317566E-2</c:v>
                </c:pt>
                <c:pt idx="3">
                  <c:v>5.6293537204426675E-3</c:v>
                </c:pt>
                <c:pt idx="4">
                  <c:v>4.9580115551216865E-3</c:v>
                </c:pt>
                <c:pt idx="5">
                  <c:v>4.5959615201942566E-3</c:v>
                </c:pt>
                <c:pt idx="6">
                  <c:v>3.7409319921151824E-3</c:v>
                </c:pt>
                <c:pt idx="7">
                  <c:v>2.9291949555684147E-3</c:v>
                </c:pt>
                <c:pt idx="8">
                  <c:v>3.8905722053004972E-3</c:v>
                </c:pt>
                <c:pt idx="9">
                  <c:v>3.0631085131275436E-3</c:v>
                </c:pt>
                <c:pt idx="10">
                  <c:v>2.4460212311932759E-3</c:v>
                </c:pt>
                <c:pt idx="11">
                  <c:v>1.3947486985594964E-3</c:v>
                </c:pt>
                <c:pt idx="12">
                  <c:v>1.6485120763220264E-3</c:v>
                </c:pt>
                <c:pt idx="13">
                  <c:v>5.9309590032547094E-4</c:v>
                </c:pt>
                <c:pt idx="14">
                  <c:v>4.6448294047483885E-4</c:v>
                </c:pt>
                <c:pt idx="15">
                  <c:v>9.3561355517087592E-5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0-4A4F-BEE5-12B7F013384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Sheet1!$A$2:$A$17</c:f>
              <c:numCache>
                <c:formatCode>General</c:formatCode>
                <c:ptCount val="16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38</c:v>
                </c:pt>
                <c:pt idx="4">
                  <c:v>40</c:v>
                </c:pt>
                <c:pt idx="5">
                  <c:v>45</c:v>
                </c:pt>
                <c:pt idx="6">
                  <c:v>47</c:v>
                </c:pt>
                <c:pt idx="7">
                  <c:v>50</c:v>
                </c:pt>
                <c:pt idx="8">
                  <c:v>57</c:v>
                </c:pt>
                <c:pt idx="9">
                  <c:v>60</c:v>
                </c:pt>
                <c:pt idx="10">
                  <c:v>80</c:v>
                </c:pt>
                <c:pt idx="11">
                  <c:v>100</c:v>
                </c:pt>
                <c:pt idx="12">
                  <c:v>100</c:v>
                </c:pt>
                <c:pt idx="13">
                  <c:v>135</c:v>
                </c:pt>
                <c:pt idx="14">
                  <c:v>143</c:v>
                </c:pt>
                <c:pt idx="15">
                  <c:v>167</c:v>
                </c:pt>
              </c:numCache>
            </c:numRef>
          </c:cat>
          <c:val>
            <c:numRef>
              <c:f>Sheet1!$V$2:$V$17</c:f>
              <c:numCache>
                <c:formatCode>General</c:formatCode>
                <c:ptCount val="16"/>
                <c:pt idx="0">
                  <c:v>1.6466016239154321E-2</c:v>
                </c:pt>
                <c:pt idx="1">
                  <c:v>9.2432880911907222E-3</c:v>
                </c:pt>
                <c:pt idx="2">
                  <c:v>1.0424369950389553E-2</c:v>
                </c:pt>
                <c:pt idx="3">
                  <c:v>1.8168450505007508E-3</c:v>
                </c:pt>
                <c:pt idx="4">
                  <c:v>3.7841883200057376E-3</c:v>
                </c:pt>
                <c:pt idx="5">
                  <c:v>1.2850933851395029E-3</c:v>
                </c:pt>
                <c:pt idx="6">
                  <c:v>4.9179721850115673E-3</c:v>
                </c:pt>
                <c:pt idx="7">
                  <c:v>4.5463817915200816E-3</c:v>
                </c:pt>
                <c:pt idx="8">
                  <c:v>3.8419640905833154E-3</c:v>
                </c:pt>
                <c:pt idx="9">
                  <c:v>3.5951786767953508E-3</c:v>
                </c:pt>
                <c:pt idx="10">
                  <c:v>1.8410949589127332E-3</c:v>
                </c:pt>
                <c:pt idx="11">
                  <c:v>1.6512784233387522E-3</c:v>
                </c:pt>
                <c:pt idx="12">
                  <c:v>1.3728121118104456E-3</c:v>
                </c:pt>
                <c:pt idx="13">
                  <c:v>5.5012675687838328E-4</c:v>
                </c:pt>
                <c:pt idx="14">
                  <c:v>5.2004541733496933E-4</c:v>
                </c:pt>
                <c:pt idx="15">
                  <c:v>1.9438433934022619E-4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0-4A4F-BEE5-12B7F0133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829455"/>
        <c:axId val="1864499183"/>
      </c:lineChart>
      <c:catAx>
        <c:axId val="153382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499183"/>
        <c:crosses val="autoZero"/>
        <c:auto val="1"/>
        <c:lblAlgn val="ctr"/>
        <c:lblOffset val="100"/>
        <c:noMultiLvlLbl val="0"/>
      </c:catAx>
      <c:valAx>
        <c:axId val="186449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82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255443</xdr:colOff>
      <xdr:row>20</xdr:row>
      <xdr:rowOff>119498</xdr:rowOff>
    </xdr:from>
    <xdr:to>
      <xdr:col>12</xdr:col>
      <xdr:colOff>337704</xdr:colOff>
      <xdr:row>41</xdr:row>
      <xdr:rowOff>76805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F73B78-251B-4C9C-A9FD-FB760F4C7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13190</xdr:colOff>
      <xdr:row>20</xdr:row>
      <xdr:rowOff>104703</xdr:rowOff>
    </xdr:from>
    <xdr:to>
      <xdr:col>24</xdr:col>
      <xdr:colOff>69477</xdr:colOff>
      <xdr:row>41</xdr:row>
      <xdr:rowOff>80682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442441-F689-49BB-AB1B-A3B675BB7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255494</xdr:colOff>
      <xdr:row>47</xdr:row>
      <xdr:rowOff>80684</xdr:rowOff>
    </xdr:from>
    <xdr:to>
      <xdr:col>12</xdr:col>
      <xdr:colOff>340659</xdr:colOff>
      <xdr:row>65</xdr:row>
      <xdr:rowOff>8966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429A564-3A2A-4CA9-83EE-1BF504316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A45"/>
  <sheetViews>
    <sheetView tabSelected="1" zoomScale="89" zoomScaleNormal="89" workbookViewId="0">
      <selection activeCell="Z21" sqref="Z21"/>
    </sheetView>
  </sheetViews>
  <sheetFormatPr defaultColWidth="8.88671875" defaultRowHeight="14.4" x14ac:dyDescent="0.3"/>
  <cols>
    <col min="1" max="1" width="7.5546875" style="6" customWidth="1"/>
    <col min="2" max="4" width="6" style="5" customWidth="1"/>
    <col min="5" max="7" width="8.6640625" style="4" customWidth="1"/>
    <col min="8" max="10" width="8.6640625" style="2" customWidth="1"/>
    <col min="11" max="13" width="8.6640625" style="3" customWidth="1"/>
    <col min="14" max="16" width="8.6640625" style="2" customWidth="1"/>
    <col min="17" max="19" width="8.6640625" style="3" customWidth="1"/>
    <col min="20" max="22" width="8.6640625" style="6" customWidth="1"/>
    <col min="23" max="25" width="8.6640625" style="7" customWidth="1"/>
    <col min="26" max="28" width="8.6640625" style="8" customWidth="1"/>
    <col min="29" max="16384" width="8.88671875" style="1"/>
  </cols>
  <sheetData>
    <row r="1" spans="1:28" s="13" customFormat="1" ht="29.4" thickBot="1" x14ac:dyDescent="0.35">
      <c r="A1" s="10" t="s">
        <v>2</v>
      </c>
      <c r="B1" s="9" t="s">
        <v>0</v>
      </c>
      <c r="C1" s="9"/>
      <c r="D1" s="9"/>
      <c r="E1" s="11" t="s">
        <v>3</v>
      </c>
      <c r="F1" s="11"/>
      <c r="G1" s="11"/>
      <c r="H1" s="16" t="s">
        <v>7</v>
      </c>
      <c r="I1" s="16"/>
      <c r="J1" s="16"/>
      <c r="K1" s="12" t="s">
        <v>6</v>
      </c>
      <c r="L1" s="12"/>
      <c r="M1" s="12"/>
      <c r="N1" s="16" t="s">
        <v>5</v>
      </c>
      <c r="O1" s="16"/>
      <c r="P1" s="16"/>
      <c r="Q1" s="12" t="s">
        <v>4</v>
      </c>
      <c r="R1" s="12"/>
      <c r="S1" s="12"/>
      <c r="T1" s="16" t="s">
        <v>8</v>
      </c>
      <c r="U1" s="16"/>
      <c r="V1" s="16"/>
      <c r="W1" s="12" t="s">
        <v>9</v>
      </c>
      <c r="X1" s="12"/>
      <c r="Y1" s="12"/>
      <c r="Z1" s="9" t="s">
        <v>1</v>
      </c>
      <c r="AA1" s="9"/>
      <c r="AB1" s="9"/>
    </row>
    <row r="2" spans="1:28" ht="27" customHeight="1" x14ac:dyDescent="0.3">
      <c r="A2" s="6">
        <f t="shared" ref="A2:A18" si="0">SUM(B2:D2)</f>
        <v>15</v>
      </c>
      <c r="B2" s="14">
        <v>3</v>
      </c>
      <c r="C2" s="14">
        <v>5</v>
      </c>
      <c r="D2" s="14">
        <v>7</v>
      </c>
      <c r="E2" s="6">
        <v>31.52323955</v>
      </c>
      <c r="F2" s="6">
        <v>52.208327279999999</v>
      </c>
      <c r="G2" s="6">
        <v>72.892433159999996</v>
      </c>
      <c r="H2" s="14">
        <f t="shared" ref="H2:H18" si="1">DIVIDE(B2,A2)</f>
        <v>0.2</v>
      </c>
      <c r="I2" s="14">
        <f t="shared" ref="I2:I18" si="2">DIVIDE(C2,A2)</f>
        <v>0.33333333333333331</v>
      </c>
      <c r="J2" s="14">
        <f t="shared" ref="J2:J18" si="3">DIVIDE(D2,A2)</f>
        <v>0.46666666666666667</v>
      </c>
      <c r="K2" s="6">
        <v>0.2074641699</v>
      </c>
      <c r="L2" s="6">
        <v>0.33058768710000003</v>
      </c>
      <c r="M2" s="6">
        <v>0.46194814299999998</v>
      </c>
      <c r="N2" s="14">
        <f t="shared" ref="N2:N18" si="4">ERROR_VAR(H2,A2)</f>
        <v>1.0666666666666668E-2</v>
      </c>
      <c r="O2" s="14">
        <f t="shared" ref="O2:O18" si="5">ERROR_VAR(I2,A2)</f>
        <v>1.4814814814814815E-2</v>
      </c>
      <c r="P2" s="14">
        <f t="shared" ref="P2:P18" si="6">ERROR_VAR(J2,A2)</f>
        <v>1.6592592592592593E-2</v>
      </c>
      <c r="Q2" s="6">
        <f t="shared" ref="Q2:Q18" si="7">ERROR_VAR_STO(K2,E2,F2,G2,A2)</f>
        <v>8.3733111126833504E-5</v>
      </c>
      <c r="R2" s="6">
        <f t="shared" ref="R2:R18" si="8">ERROR_VAR_STO(L2,E2,F2,G2,A2)</f>
        <v>1.1269783939032184E-4</v>
      </c>
      <c r="S2" s="15">
        <f t="shared" ref="S2:S18" si="9">ERROR_VAR_STO(M2,E2,F2,G2,A2)</f>
        <v>1.265763534382714E-4</v>
      </c>
      <c r="T2" s="14">
        <f t="shared" ref="T2:T18" si="10">SUM(N2,-Q2)</f>
        <v>1.0582933555539834E-2</v>
      </c>
      <c r="U2" s="14">
        <f t="shared" ref="U2:U18" si="11">SUM(O2,-R2)</f>
        <v>1.4702116975424494E-2</v>
      </c>
      <c r="V2" s="14">
        <f t="shared" ref="V2:V18" si="12">SUM(P2,-S2)</f>
        <v>1.6466016239154321E-2</v>
      </c>
      <c r="W2" s="6">
        <f t="shared" ref="W2:W18" si="13">DIVIDE(T2,N2)</f>
        <v>0.99215002083185933</v>
      </c>
      <c r="X2" s="6">
        <f t="shared" ref="X2:X18" si="14">DIVIDE(U2,O2)</f>
        <v>0.99239289584115331</v>
      </c>
      <c r="Y2" s="6">
        <f t="shared" ref="Y2:Y18" si="15">DIVIDE(V2,P2)</f>
        <v>0.9923715144133185</v>
      </c>
      <c r="Z2" s="14">
        <f t="shared" ref="Z2:Z18" si="16">DIVIDE(Q2,N2)</f>
        <v>7.8499791681406403E-3</v>
      </c>
      <c r="AA2" s="14">
        <f t="shared" ref="AA2:AA18" si="17">DIVIDE(R2,O2)</f>
        <v>7.6071041588467239E-3</v>
      </c>
      <c r="AB2" s="14">
        <f t="shared" ref="AB2:AB18" si="18">DIVIDE(S2,P2)</f>
        <v>7.6284855866815349E-3</v>
      </c>
    </row>
    <row r="3" spans="1:28" ht="27" customHeight="1" x14ac:dyDescent="0.3">
      <c r="A3" s="6">
        <f t="shared" si="0"/>
        <v>20</v>
      </c>
      <c r="B3" s="14">
        <v>5</v>
      </c>
      <c r="C3" s="14">
        <v>10</v>
      </c>
      <c r="D3" s="14">
        <v>5</v>
      </c>
      <c r="E3" s="6">
        <v>38.030251120000003</v>
      </c>
      <c r="F3" s="6">
        <v>75.563608779999996</v>
      </c>
      <c r="G3" s="6">
        <v>38.030140090000003</v>
      </c>
      <c r="H3" s="14">
        <f t="shared" si="1"/>
        <v>0.25</v>
      </c>
      <c r="I3" s="14">
        <f t="shared" si="2"/>
        <v>0.5</v>
      </c>
      <c r="J3" s="14">
        <f t="shared" si="3"/>
        <v>0.25</v>
      </c>
      <c r="K3" s="6">
        <v>0.2451192609</v>
      </c>
      <c r="L3" s="6">
        <v>0.49157172059999998</v>
      </c>
      <c r="M3" s="6">
        <v>0.26330901849999999</v>
      </c>
      <c r="N3" s="14">
        <f t="shared" si="4"/>
        <v>9.3749999999999997E-3</v>
      </c>
      <c r="O3" s="14">
        <f t="shared" si="5"/>
        <v>1.2500000000000001E-2</v>
      </c>
      <c r="P3" s="14">
        <f t="shared" si="6"/>
        <v>9.3749999999999997E-3</v>
      </c>
      <c r="Q3" s="6">
        <f t="shared" si="7"/>
        <v>1.2564052401743515E-4</v>
      </c>
      <c r="R3" s="6">
        <f t="shared" si="8"/>
        <v>1.6970340073642801E-4</v>
      </c>
      <c r="S3" s="15">
        <f t="shared" si="9"/>
        <v>1.3171190880927663E-4</v>
      </c>
      <c r="T3" s="14">
        <f t="shared" si="10"/>
        <v>9.2493594759825645E-3</v>
      </c>
      <c r="U3" s="14">
        <f t="shared" si="11"/>
        <v>1.2330296599263572E-2</v>
      </c>
      <c r="V3" s="14">
        <f t="shared" si="12"/>
        <v>9.2432880911907222E-3</v>
      </c>
      <c r="W3" s="6">
        <f t="shared" si="13"/>
        <v>0.98659834410480696</v>
      </c>
      <c r="X3" s="6">
        <f t="shared" si="14"/>
        <v>0.98642372794108568</v>
      </c>
      <c r="Y3" s="6">
        <f t="shared" si="15"/>
        <v>0.98595072972701037</v>
      </c>
      <c r="Z3" s="14">
        <f t="shared" si="16"/>
        <v>1.3401655895193083E-2</v>
      </c>
      <c r="AA3" s="14">
        <f t="shared" si="17"/>
        <v>1.357627205891424E-2</v>
      </c>
      <c r="AB3" s="14">
        <f t="shared" si="18"/>
        <v>1.4049270272989507E-2</v>
      </c>
    </row>
    <row r="4" spans="1:28" ht="27" customHeight="1" x14ac:dyDescent="0.3">
      <c r="A4" s="6">
        <f t="shared" si="0"/>
        <v>21</v>
      </c>
      <c r="B4" s="14">
        <v>7</v>
      </c>
      <c r="C4" s="14">
        <v>7</v>
      </c>
      <c r="D4" s="14">
        <v>7</v>
      </c>
      <c r="E4" s="6">
        <v>50.208591419999998</v>
      </c>
      <c r="F4" s="6">
        <v>50.207386749999998</v>
      </c>
      <c r="G4" s="6">
        <v>50.208014589999998</v>
      </c>
      <c r="H4" s="14">
        <f t="shared" si="1"/>
        <v>0.33333333333333331</v>
      </c>
      <c r="I4" s="14">
        <f t="shared" si="2"/>
        <v>0.33333333333333331</v>
      </c>
      <c r="J4" s="14">
        <f t="shared" si="3"/>
        <v>0.33333333333333331</v>
      </c>
      <c r="K4" s="6">
        <v>0.34464237180000001</v>
      </c>
      <c r="L4" s="6">
        <v>0.32533347089999998</v>
      </c>
      <c r="M4" s="6">
        <v>0.33002415730000001</v>
      </c>
      <c r="N4" s="14">
        <f t="shared" si="4"/>
        <v>1.0582010582010583E-2</v>
      </c>
      <c r="O4" s="14">
        <f t="shared" si="5"/>
        <v>1.0582010582010583E-2</v>
      </c>
      <c r="P4" s="14">
        <f t="shared" si="6"/>
        <v>1.0582010582010583E-2</v>
      </c>
      <c r="Q4" s="6">
        <f t="shared" si="7"/>
        <v>1.6103130821764296E-4</v>
      </c>
      <c r="R4" s="6">
        <f t="shared" si="8"/>
        <v>1.564880588349233E-4</v>
      </c>
      <c r="S4" s="15">
        <f t="shared" si="9"/>
        <v>1.5764063162102991E-4</v>
      </c>
      <c r="T4" s="14">
        <f t="shared" si="10"/>
        <v>1.042097927379294E-2</v>
      </c>
      <c r="U4" s="14">
        <f t="shared" si="11"/>
        <v>1.042552252317566E-2</v>
      </c>
      <c r="V4" s="14">
        <f t="shared" si="12"/>
        <v>1.0424369950389553E-2</v>
      </c>
      <c r="W4" s="6">
        <f t="shared" si="13"/>
        <v>0.98478254137343268</v>
      </c>
      <c r="X4" s="6">
        <f t="shared" si="14"/>
        <v>0.98521187844009983</v>
      </c>
      <c r="Y4" s="6">
        <f t="shared" si="15"/>
        <v>0.98510296031181266</v>
      </c>
      <c r="Z4" s="14">
        <f t="shared" si="16"/>
        <v>1.5217458626567258E-2</v>
      </c>
      <c r="AA4" s="14">
        <f t="shared" si="17"/>
        <v>1.4788121559900251E-2</v>
      </c>
      <c r="AB4" s="14">
        <f t="shared" si="18"/>
        <v>1.4897039688187324E-2</v>
      </c>
    </row>
    <row r="5" spans="1:28" ht="27" customHeight="1" x14ac:dyDescent="0.3">
      <c r="A5" s="6">
        <f t="shared" si="0"/>
        <v>38</v>
      </c>
      <c r="B5" s="14">
        <v>10</v>
      </c>
      <c r="C5" s="14">
        <v>25</v>
      </c>
      <c r="D5" s="14">
        <v>3</v>
      </c>
      <c r="E5" s="6">
        <v>35.27294775</v>
      </c>
      <c r="F5" s="6">
        <v>87.427947360000005</v>
      </c>
      <c r="G5" s="6">
        <v>10.92310488</v>
      </c>
      <c r="H5" s="14">
        <f t="shared" si="1"/>
        <v>0.26315789473684209</v>
      </c>
      <c r="I5" s="14">
        <f t="shared" si="2"/>
        <v>0.65789473684210531</v>
      </c>
      <c r="J5" s="14">
        <f t="shared" si="3"/>
        <v>7.8947368421052627E-2</v>
      </c>
      <c r="K5" s="6">
        <v>0.26843853020000003</v>
      </c>
      <c r="L5" s="6">
        <v>0.64994635670000001</v>
      </c>
      <c r="M5" s="6">
        <v>8.1615113020000005E-2</v>
      </c>
      <c r="N5" s="14">
        <f t="shared" si="4"/>
        <v>5.102784662487243E-3</v>
      </c>
      <c r="O5" s="14">
        <f t="shared" si="5"/>
        <v>5.9228750546726928E-3</v>
      </c>
      <c r="P5" s="14">
        <f t="shared" si="6"/>
        <v>1.9135442484327161E-3</v>
      </c>
      <c r="Q5" s="6">
        <f t="shared" si="7"/>
        <v>2.5335135605802792E-4</v>
      </c>
      <c r="R5" s="6">
        <f t="shared" si="8"/>
        <v>2.935213342300252E-4</v>
      </c>
      <c r="S5" s="15">
        <f t="shared" si="9"/>
        <v>9.669919793196535E-5</v>
      </c>
      <c r="T5" s="14">
        <f t="shared" si="10"/>
        <v>4.8494333064292147E-3</v>
      </c>
      <c r="U5" s="14">
        <f t="shared" si="11"/>
        <v>5.6293537204426675E-3</v>
      </c>
      <c r="V5" s="14">
        <f t="shared" si="12"/>
        <v>1.8168450505007508E-3</v>
      </c>
      <c r="W5" s="6">
        <f t="shared" si="13"/>
        <v>0.95035037282279955</v>
      </c>
      <c r="X5" s="6">
        <f t="shared" si="14"/>
        <v>0.95044276107116943</v>
      </c>
      <c r="Y5" s="6">
        <f t="shared" si="15"/>
        <v>0.94946592010549713</v>
      </c>
      <c r="Z5" s="14">
        <f t="shared" si="16"/>
        <v>4.9649627177200388E-2</v>
      </c>
      <c r="AA5" s="14">
        <f t="shared" si="17"/>
        <v>4.9557238928830592E-2</v>
      </c>
      <c r="AB5" s="14">
        <f t="shared" si="18"/>
        <v>5.0534079894502884E-2</v>
      </c>
    </row>
    <row r="6" spans="1:28" ht="27" customHeight="1" x14ac:dyDescent="0.3">
      <c r="A6" s="6">
        <f t="shared" si="0"/>
        <v>40</v>
      </c>
      <c r="B6" s="14">
        <v>20</v>
      </c>
      <c r="C6" s="14">
        <v>12</v>
      </c>
      <c r="D6" s="14">
        <v>8</v>
      </c>
      <c r="E6" s="6">
        <v>65.563666049999995</v>
      </c>
      <c r="F6" s="6">
        <v>39.537087739999997</v>
      </c>
      <c r="G6" s="6">
        <v>26.523245970000001</v>
      </c>
      <c r="H6" s="14">
        <f t="shared" si="1"/>
        <v>0.5</v>
      </c>
      <c r="I6" s="14">
        <f t="shared" si="2"/>
        <v>0.3</v>
      </c>
      <c r="J6" s="14">
        <f t="shared" si="3"/>
        <v>0.2</v>
      </c>
      <c r="K6" s="6">
        <v>0.48885131910000001</v>
      </c>
      <c r="L6" s="6">
        <v>0.3129478987</v>
      </c>
      <c r="M6" s="6">
        <v>0.19820078229999999</v>
      </c>
      <c r="N6" s="14">
        <f t="shared" si="4"/>
        <v>6.2500000000000003E-3</v>
      </c>
      <c r="O6" s="14">
        <f t="shared" si="5"/>
        <v>5.2499999999999995E-3</v>
      </c>
      <c r="P6" s="14">
        <f t="shared" si="6"/>
        <v>4.000000000000001E-3</v>
      </c>
      <c r="Q6" s="6">
        <f t="shared" si="7"/>
        <v>3.3933447841898368E-4</v>
      </c>
      <c r="R6" s="6">
        <f t="shared" si="8"/>
        <v>2.9198844487831276E-4</v>
      </c>
      <c r="S6" s="15">
        <f t="shared" si="9"/>
        <v>2.1581167999426342E-4</v>
      </c>
      <c r="T6" s="14">
        <f t="shared" si="10"/>
        <v>5.9106655215810169E-3</v>
      </c>
      <c r="U6" s="14">
        <f t="shared" si="11"/>
        <v>4.9580115551216865E-3</v>
      </c>
      <c r="V6" s="14">
        <f t="shared" si="12"/>
        <v>3.7841883200057376E-3</v>
      </c>
      <c r="W6" s="6">
        <f t="shared" si="13"/>
        <v>0.94570648345296271</v>
      </c>
      <c r="X6" s="6">
        <f t="shared" si="14"/>
        <v>0.9443831533565118</v>
      </c>
      <c r="Y6" s="6">
        <f t="shared" si="15"/>
        <v>0.94604708000143412</v>
      </c>
      <c r="Z6" s="14">
        <f t="shared" si="16"/>
        <v>5.4293516547037388E-2</v>
      </c>
      <c r="AA6" s="14">
        <f t="shared" si="17"/>
        <v>5.5616846643488149E-2</v>
      </c>
      <c r="AB6" s="14">
        <f t="shared" si="18"/>
        <v>5.3952919998565843E-2</v>
      </c>
    </row>
    <row r="7" spans="1:28" ht="27" customHeight="1" x14ac:dyDescent="0.3">
      <c r="A7" s="6">
        <f t="shared" si="0"/>
        <v>45</v>
      </c>
      <c r="B7" s="14">
        <v>12</v>
      </c>
      <c r="C7" s="14">
        <v>30</v>
      </c>
      <c r="D7" s="14">
        <v>3</v>
      </c>
      <c r="E7" s="6">
        <v>33.867246719999997</v>
      </c>
      <c r="F7" s="6">
        <v>83.923019339999996</v>
      </c>
      <c r="G7" s="6">
        <v>8.8337338600000006</v>
      </c>
      <c r="H7" s="14">
        <f t="shared" si="1"/>
        <v>0.26666666666666666</v>
      </c>
      <c r="I7" s="14">
        <f t="shared" si="2"/>
        <v>0.66666666666666663</v>
      </c>
      <c r="J7" s="14">
        <f t="shared" si="3"/>
        <v>6.6666666666666666E-2</v>
      </c>
      <c r="K7" s="6">
        <v>0.27033345399999997</v>
      </c>
      <c r="L7" s="6">
        <v>0.66106077689999998</v>
      </c>
      <c r="M7" s="6">
        <v>6.8605769159999996E-2</v>
      </c>
      <c r="N7" s="14">
        <f t="shared" si="4"/>
        <v>4.345679012345679E-3</v>
      </c>
      <c r="O7" s="14">
        <f t="shared" si="5"/>
        <v>4.9382716049382724E-3</v>
      </c>
      <c r="P7" s="14">
        <f t="shared" si="6"/>
        <v>1.382716049382716E-3</v>
      </c>
      <c r="Q7" s="6">
        <f t="shared" si="7"/>
        <v>3.0135659699655947E-4</v>
      </c>
      <c r="R7" s="6">
        <f t="shared" si="8"/>
        <v>3.4231008474401537E-4</v>
      </c>
      <c r="S7" s="15">
        <f t="shared" si="9"/>
        <v>9.7622664243212986E-5</v>
      </c>
      <c r="T7" s="14">
        <f t="shared" si="10"/>
        <v>4.0443224153491192E-3</v>
      </c>
      <c r="U7" s="14">
        <f t="shared" si="11"/>
        <v>4.5959615201942566E-3</v>
      </c>
      <c r="V7" s="14">
        <f t="shared" si="12"/>
        <v>1.2850933851395029E-3</v>
      </c>
      <c r="W7" s="6">
        <f t="shared" si="13"/>
        <v>0.93065373762295067</v>
      </c>
      <c r="X7" s="6">
        <f t="shared" si="14"/>
        <v>0.93068220783933686</v>
      </c>
      <c r="Y7" s="6">
        <f t="shared" si="15"/>
        <v>0.92939789460981914</v>
      </c>
      <c r="Z7" s="14">
        <f t="shared" si="16"/>
        <v>6.9346262377049189E-2</v>
      </c>
      <c r="AA7" s="14">
        <f t="shared" si="17"/>
        <v>6.9317792160663097E-2</v>
      </c>
      <c r="AB7" s="14">
        <f t="shared" si="18"/>
        <v>7.0602105390180817E-2</v>
      </c>
    </row>
    <row r="8" spans="1:28" ht="27" customHeight="1" x14ac:dyDescent="0.3">
      <c r="A8" s="6">
        <f t="shared" si="0"/>
        <v>47</v>
      </c>
      <c r="B8" s="14">
        <v>11</v>
      </c>
      <c r="C8" s="14">
        <v>12</v>
      </c>
      <c r="D8" s="14">
        <v>24</v>
      </c>
      <c r="E8" s="6">
        <v>29.314989749999999</v>
      </c>
      <c r="F8" s="6">
        <v>31.935485280000002</v>
      </c>
      <c r="G8" s="6">
        <v>63.373524920000001</v>
      </c>
      <c r="H8" s="14">
        <f t="shared" si="1"/>
        <v>0.23404255319148937</v>
      </c>
      <c r="I8" s="14">
        <f t="shared" si="2"/>
        <v>0.25531914893617019</v>
      </c>
      <c r="J8" s="14">
        <f t="shared" si="3"/>
        <v>0.51063829787234039</v>
      </c>
      <c r="K8" s="6">
        <v>0.23374453549999999</v>
      </c>
      <c r="L8" s="6">
        <v>0.25663987370000002</v>
      </c>
      <c r="M8" s="6">
        <v>0.50961559089999997</v>
      </c>
      <c r="N8" s="14">
        <f t="shared" si="4"/>
        <v>3.8141837550446432E-3</v>
      </c>
      <c r="O8" s="14">
        <f t="shared" si="5"/>
        <v>4.0453464068655309E-3</v>
      </c>
      <c r="P8" s="14">
        <f t="shared" si="6"/>
        <v>5.3167409918804115E-3</v>
      </c>
      <c r="Q8" s="6">
        <f t="shared" si="7"/>
        <v>2.8579647640308891E-4</v>
      </c>
      <c r="R8" s="6">
        <f t="shared" si="8"/>
        <v>3.0441441475034857E-4</v>
      </c>
      <c r="S8" s="15">
        <f t="shared" si="9"/>
        <v>3.987688068688445E-4</v>
      </c>
      <c r="T8" s="14">
        <f t="shared" si="10"/>
        <v>3.5283872786415543E-3</v>
      </c>
      <c r="U8" s="14">
        <f t="shared" si="11"/>
        <v>3.7409319921151824E-3</v>
      </c>
      <c r="V8" s="14">
        <f t="shared" si="12"/>
        <v>4.9179721850115673E-3</v>
      </c>
      <c r="W8" s="6">
        <f t="shared" si="13"/>
        <v>0.92507008189495477</v>
      </c>
      <c r="X8" s="6">
        <f t="shared" si="14"/>
        <v>0.92474948146993941</v>
      </c>
      <c r="Y8" s="6">
        <f t="shared" si="15"/>
        <v>0.92499751116749274</v>
      </c>
      <c r="Z8" s="14">
        <f t="shared" si="16"/>
        <v>7.4929918105045207E-2</v>
      </c>
      <c r="AA8" s="14">
        <f t="shared" si="17"/>
        <v>7.5250518530060567E-2</v>
      </c>
      <c r="AB8" s="14">
        <f t="shared" si="18"/>
        <v>7.5002488832507333E-2</v>
      </c>
    </row>
    <row r="9" spans="1:28" ht="27" customHeight="1" x14ac:dyDescent="0.3">
      <c r="A9" s="6">
        <f t="shared" si="0"/>
        <v>50</v>
      </c>
      <c r="B9" s="14">
        <v>17</v>
      </c>
      <c r="C9" s="14">
        <v>10</v>
      </c>
      <c r="D9" s="14">
        <v>23</v>
      </c>
      <c r="E9" s="6">
        <v>41.342469350000002</v>
      </c>
      <c r="F9" s="6">
        <v>24.52302663</v>
      </c>
      <c r="G9" s="6">
        <v>55.758503990000001</v>
      </c>
      <c r="H9" s="14">
        <f t="shared" si="1"/>
        <v>0.34</v>
      </c>
      <c r="I9" s="14">
        <f t="shared" si="2"/>
        <v>0.2</v>
      </c>
      <c r="J9" s="14">
        <f t="shared" si="3"/>
        <v>0.46</v>
      </c>
      <c r="K9" s="6">
        <v>0.34111098049999999</v>
      </c>
      <c r="L9" s="6">
        <v>0.19921794300000001</v>
      </c>
      <c r="M9" s="6">
        <v>0.4596710765</v>
      </c>
      <c r="N9" s="14">
        <f t="shared" si="4"/>
        <v>4.4879999999999998E-3</v>
      </c>
      <c r="O9" s="14">
        <f t="shared" si="5"/>
        <v>3.2000000000000006E-3</v>
      </c>
      <c r="P9" s="14">
        <f t="shared" si="6"/>
        <v>4.9680000000000011E-3</v>
      </c>
      <c r="Q9" s="6">
        <f t="shared" si="7"/>
        <v>3.815240632821915E-4</v>
      </c>
      <c r="R9" s="6">
        <f t="shared" si="8"/>
        <v>2.7080504443158579E-4</v>
      </c>
      <c r="S9" s="15">
        <f t="shared" si="9"/>
        <v>4.2161820847991922E-4</v>
      </c>
      <c r="T9" s="14">
        <f t="shared" si="10"/>
        <v>4.1064759367178084E-3</v>
      </c>
      <c r="U9" s="14">
        <f t="shared" si="11"/>
        <v>2.9291949555684147E-3</v>
      </c>
      <c r="V9" s="14">
        <f t="shared" si="12"/>
        <v>4.5463817915200816E-3</v>
      </c>
      <c r="W9" s="6">
        <f t="shared" si="13"/>
        <v>0.91499018197812132</v>
      </c>
      <c r="X9" s="6">
        <f t="shared" si="14"/>
        <v>0.91537342361512941</v>
      </c>
      <c r="Y9" s="6">
        <f t="shared" si="15"/>
        <v>0.91513321085347843</v>
      </c>
      <c r="Z9" s="14">
        <f t="shared" si="16"/>
        <v>8.500981802187868E-2</v>
      </c>
      <c r="AA9" s="14">
        <f t="shared" si="17"/>
        <v>8.4626576384870547E-2</v>
      </c>
      <c r="AB9" s="14">
        <f t="shared" si="18"/>
        <v>8.4866789146521557E-2</v>
      </c>
    </row>
    <row r="10" spans="1:28" ht="27" customHeight="1" x14ac:dyDescent="0.3">
      <c r="A10" s="6">
        <f t="shared" si="0"/>
        <v>57</v>
      </c>
      <c r="B10" s="14">
        <v>2</v>
      </c>
      <c r="C10" s="14">
        <v>30</v>
      </c>
      <c r="D10" s="14">
        <v>25</v>
      </c>
      <c r="E10" s="6">
        <v>4.4526014590000003</v>
      </c>
      <c r="F10" s="6">
        <v>60.048304979999997</v>
      </c>
      <c r="G10" s="6">
        <v>50.123093539999999</v>
      </c>
      <c r="H10" s="14">
        <f t="shared" si="1"/>
        <v>3.5087719298245612E-2</v>
      </c>
      <c r="I10" s="14">
        <f t="shared" si="2"/>
        <v>0.52631578947368418</v>
      </c>
      <c r="J10" s="14">
        <f t="shared" si="3"/>
        <v>0.43859649122807015</v>
      </c>
      <c r="K10" s="6">
        <v>3.8553937810000001E-2</v>
      </c>
      <c r="L10" s="6">
        <v>0.51684234650000005</v>
      </c>
      <c r="M10" s="6">
        <v>0.44460371570000001</v>
      </c>
      <c r="N10" s="14">
        <f t="shared" si="4"/>
        <v>5.9397493425777427E-4</v>
      </c>
      <c r="O10" s="14">
        <f t="shared" si="5"/>
        <v>4.3738154249890653E-3</v>
      </c>
      <c r="P10" s="14">
        <f t="shared" si="6"/>
        <v>4.3198177036929035E-3</v>
      </c>
      <c r="Q10" s="6">
        <f t="shared" si="7"/>
        <v>7.1731924678971178E-5</v>
      </c>
      <c r="R10" s="6">
        <f t="shared" si="8"/>
        <v>4.8324321968856818E-4</v>
      </c>
      <c r="S10" s="15">
        <f t="shared" si="9"/>
        <v>4.7785361310958825E-4</v>
      </c>
      <c r="T10" s="14">
        <f t="shared" si="10"/>
        <v>5.2224300957880306E-4</v>
      </c>
      <c r="U10" s="14">
        <f t="shared" si="11"/>
        <v>3.8905722053004972E-3</v>
      </c>
      <c r="V10" s="14">
        <f t="shared" si="12"/>
        <v>3.8419640905833154E-3</v>
      </c>
      <c r="W10" s="6">
        <f t="shared" si="13"/>
        <v>0.87923408793570257</v>
      </c>
      <c r="X10" s="6">
        <f t="shared" si="14"/>
        <v>0.88951449187187037</v>
      </c>
      <c r="Y10" s="6">
        <f t="shared" si="15"/>
        <v>0.88938106978424503</v>
      </c>
      <c r="Z10" s="14">
        <f t="shared" si="16"/>
        <v>0.12076591206429736</v>
      </c>
      <c r="AA10" s="14">
        <f t="shared" si="17"/>
        <v>0.11048550812812964</v>
      </c>
      <c r="AB10" s="14">
        <f t="shared" si="18"/>
        <v>0.11061893021575499</v>
      </c>
    </row>
    <row r="11" spans="1:28" ht="27" customHeight="1" x14ac:dyDescent="0.3">
      <c r="A11" s="6">
        <f t="shared" si="0"/>
        <v>60</v>
      </c>
      <c r="B11" s="14">
        <v>16</v>
      </c>
      <c r="C11" s="14">
        <v>18</v>
      </c>
      <c r="D11" s="14">
        <v>26</v>
      </c>
      <c r="E11" s="6">
        <v>29.772468679999999</v>
      </c>
      <c r="F11" s="6">
        <v>33.697585799999999</v>
      </c>
      <c r="G11" s="6">
        <v>48.153945489999998</v>
      </c>
      <c r="H11" s="14">
        <f t="shared" si="1"/>
        <v>0.26666666666666666</v>
      </c>
      <c r="I11" s="14">
        <f t="shared" si="2"/>
        <v>0.3</v>
      </c>
      <c r="J11" s="14">
        <f t="shared" si="3"/>
        <v>0.43333333333333335</v>
      </c>
      <c r="K11" s="6">
        <v>0.26472091419999999</v>
      </c>
      <c r="L11" s="6">
        <v>0.31152145199999998</v>
      </c>
      <c r="M11" s="6">
        <v>0.42375763389999999</v>
      </c>
      <c r="N11" s="14">
        <f t="shared" si="4"/>
        <v>3.2592592592592595E-3</v>
      </c>
      <c r="O11" s="14">
        <f t="shared" si="5"/>
        <v>3.5000000000000001E-3</v>
      </c>
      <c r="P11" s="14">
        <f t="shared" si="6"/>
        <v>4.092592592592593E-3</v>
      </c>
      <c r="Q11" s="6">
        <f t="shared" si="7"/>
        <v>3.9649314039096642E-4</v>
      </c>
      <c r="R11" s="6">
        <f t="shared" si="8"/>
        <v>4.3689148687245627E-4</v>
      </c>
      <c r="S11" s="15">
        <f t="shared" si="9"/>
        <v>4.9741391579724245E-4</v>
      </c>
      <c r="T11" s="14">
        <f t="shared" si="10"/>
        <v>2.8627661188682929E-3</v>
      </c>
      <c r="U11" s="14">
        <f t="shared" si="11"/>
        <v>3.0631085131275436E-3</v>
      </c>
      <c r="V11" s="14">
        <f t="shared" si="12"/>
        <v>3.5951786767953508E-3</v>
      </c>
      <c r="W11" s="6">
        <f t="shared" si="13"/>
        <v>0.87834869556186257</v>
      </c>
      <c r="X11" s="6">
        <f t="shared" si="14"/>
        <v>0.87517386089358384</v>
      </c>
      <c r="Y11" s="6">
        <f t="shared" si="15"/>
        <v>0.87845994817623951</v>
      </c>
      <c r="Z11" s="14">
        <f t="shared" si="16"/>
        <v>0.12165130443813742</v>
      </c>
      <c r="AA11" s="14">
        <f t="shared" si="17"/>
        <v>0.12482613910641607</v>
      </c>
      <c r="AB11" s="14">
        <f t="shared" si="18"/>
        <v>0.12154005182376058</v>
      </c>
    </row>
    <row r="12" spans="1:28" ht="27" customHeight="1" x14ac:dyDescent="0.3">
      <c r="A12" s="6">
        <f t="shared" si="0"/>
        <v>80</v>
      </c>
      <c r="B12" s="14">
        <v>20</v>
      </c>
      <c r="C12" s="14">
        <v>40</v>
      </c>
      <c r="D12" s="14">
        <v>20</v>
      </c>
      <c r="E12" s="6">
        <v>23.029909329999999</v>
      </c>
      <c r="F12" s="6">
        <v>45.564180810000003</v>
      </c>
      <c r="G12" s="6">
        <v>23.02990986</v>
      </c>
      <c r="H12" s="14">
        <f t="shared" si="1"/>
        <v>0.25</v>
      </c>
      <c r="I12" s="14">
        <f t="shared" si="2"/>
        <v>0.5</v>
      </c>
      <c r="J12" s="14">
        <f t="shared" si="3"/>
        <v>0.25</v>
      </c>
      <c r="K12" s="6">
        <v>0.25801114130000002</v>
      </c>
      <c r="L12" s="6">
        <v>0.49680245760000002</v>
      </c>
      <c r="M12" s="6">
        <v>0.24518640110000001</v>
      </c>
      <c r="N12" s="14">
        <f t="shared" si="4"/>
        <v>2.3437499999999999E-3</v>
      </c>
      <c r="O12" s="14">
        <f t="shared" si="5"/>
        <v>3.1250000000000002E-3</v>
      </c>
      <c r="P12" s="14">
        <f t="shared" si="6"/>
        <v>2.3437499999999999E-3</v>
      </c>
      <c r="Q12" s="6">
        <f t="shared" si="7"/>
        <v>5.1995982812921165E-4</v>
      </c>
      <c r="R12" s="6">
        <f t="shared" si="8"/>
        <v>6.7897876880672434E-4</v>
      </c>
      <c r="S12" s="15">
        <f t="shared" si="9"/>
        <v>5.0265504108726669E-4</v>
      </c>
      <c r="T12" s="14">
        <f t="shared" si="10"/>
        <v>1.8237901718707883E-3</v>
      </c>
      <c r="U12" s="14">
        <f t="shared" si="11"/>
        <v>2.4460212311932759E-3</v>
      </c>
      <c r="V12" s="14">
        <f t="shared" si="12"/>
        <v>1.8410949589127332E-3</v>
      </c>
      <c r="W12" s="6">
        <f t="shared" si="13"/>
        <v>0.77815047333153631</v>
      </c>
      <c r="X12" s="6">
        <f t="shared" si="14"/>
        <v>0.7827267939818483</v>
      </c>
      <c r="Y12" s="6">
        <f t="shared" si="15"/>
        <v>0.78553384913609958</v>
      </c>
      <c r="Z12" s="14">
        <f t="shared" si="16"/>
        <v>0.22184952666846364</v>
      </c>
      <c r="AA12" s="14">
        <f t="shared" si="17"/>
        <v>0.21727320601815178</v>
      </c>
      <c r="AB12" s="14">
        <f t="shared" si="18"/>
        <v>0.21446615086390047</v>
      </c>
    </row>
    <row r="13" spans="1:28" ht="27" customHeight="1" x14ac:dyDescent="0.3">
      <c r="A13" s="6">
        <f t="shared" si="0"/>
        <v>100</v>
      </c>
      <c r="B13" s="14">
        <v>20</v>
      </c>
      <c r="C13" s="14">
        <v>30</v>
      </c>
      <c r="D13" s="14">
        <v>50</v>
      </c>
      <c r="E13" s="6">
        <v>14.97483939</v>
      </c>
      <c r="F13" s="6">
        <v>20.887588390000001</v>
      </c>
      <c r="G13" s="6">
        <v>35.761572180000002</v>
      </c>
      <c r="H13" s="14">
        <f t="shared" si="1"/>
        <v>0.2</v>
      </c>
      <c r="I13" s="14">
        <f t="shared" si="2"/>
        <v>0.3</v>
      </c>
      <c r="J13" s="14">
        <f t="shared" si="3"/>
        <v>0.5</v>
      </c>
      <c r="K13" s="6">
        <v>0.208879065</v>
      </c>
      <c r="L13" s="6">
        <v>0.29440413850000002</v>
      </c>
      <c r="M13" s="6">
        <v>0.49671679660000001</v>
      </c>
      <c r="N13" s="14">
        <f t="shared" si="4"/>
        <v>1.6000000000000003E-3</v>
      </c>
      <c r="O13" s="14">
        <f t="shared" si="5"/>
        <v>2.0999999999999999E-3</v>
      </c>
      <c r="P13" s="14">
        <f t="shared" si="6"/>
        <v>2.5000000000000001E-3</v>
      </c>
      <c r="Q13" s="6">
        <f t="shared" si="7"/>
        <v>5.6102440350311105E-4</v>
      </c>
      <c r="R13" s="6">
        <f t="shared" si="8"/>
        <v>7.0525130144050347E-4</v>
      </c>
      <c r="S13" s="15">
        <f t="shared" si="9"/>
        <v>8.4872157666124781E-4</v>
      </c>
      <c r="T13" s="14">
        <f t="shared" si="10"/>
        <v>1.0389755964968894E-3</v>
      </c>
      <c r="U13" s="14">
        <f t="shared" si="11"/>
        <v>1.3947486985594964E-3</v>
      </c>
      <c r="V13" s="14">
        <f t="shared" si="12"/>
        <v>1.6512784233387522E-3</v>
      </c>
      <c r="W13" s="6">
        <f t="shared" si="13"/>
        <v>0.64935974781055572</v>
      </c>
      <c r="X13" s="6">
        <f t="shared" si="14"/>
        <v>0.66416604693309356</v>
      </c>
      <c r="Y13" s="6">
        <f t="shared" si="15"/>
        <v>0.66051136933550092</v>
      </c>
      <c r="Z13" s="14">
        <f t="shared" si="16"/>
        <v>0.35064025218944433</v>
      </c>
      <c r="AA13" s="14">
        <f t="shared" si="17"/>
        <v>0.33583395306690644</v>
      </c>
      <c r="AB13" s="14">
        <f t="shared" si="18"/>
        <v>0.33948863066449914</v>
      </c>
    </row>
    <row r="14" spans="1:28" ht="27" customHeight="1" x14ac:dyDescent="0.3">
      <c r="A14" s="6">
        <f t="shared" si="0"/>
        <v>100</v>
      </c>
      <c r="B14" s="14">
        <v>23</v>
      </c>
      <c r="C14" s="14">
        <v>48</v>
      </c>
      <c r="D14" s="14">
        <v>29</v>
      </c>
      <c r="E14" s="6">
        <v>16.627157520000001</v>
      </c>
      <c r="F14" s="6">
        <v>34.160829110000002</v>
      </c>
      <c r="G14" s="6">
        <v>20.836013319999999</v>
      </c>
      <c r="H14" s="14">
        <f t="shared" si="1"/>
        <v>0.23</v>
      </c>
      <c r="I14" s="14">
        <f t="shared" si="2"/>
        <v>0.48</v>
      </c>
      <c r="J14" s="14">
        <f t="shared" si="3"/>
        <v>0.28999999999999998</v>
      </c>
      <c r="K14" s="6">
        <v>0.2381687824</v>
      </c>
      <c r="L14" s="6">
        <v>0.48065705710000001</v>
      </c>
      <c r="M14" s="6">
        <v>0.28117416049999999</v>
      </c>
      <c r="N14" s="14">
        <f t="shared" si="4"/>
        <v>1.771E-3</v>
      </c>
      <c r="O14" s="14">
        <f t="shared" si="5"/>
        <v>2.496E-3</v>
      </c>
      <c r="P14" s="14">
        <f t="shared" si="6"/>
        <v>2.0589999999999996E-3</v>
      </c>
      <c r="Q14" s="6">
        <f t="shared" si="7"/>
        <v>6.1600971576761146E-4</v>
      </c>
      <c r="R14" s="6">
        <f t="shared" si="8"/>
        <v>8.4748792367797348E-4</v>
      </c>
      <c r="S14" s="15">
        <f t="shared" si="9"/>
        <v>6.8618788818955391E-4</v>
      </c>
      <c r="T14" s="14">
        <f t="shared" si="10"/>
        <v>1.1549902842323885E-3</v>
      </c>
      <c r="U14" s="14">
        <f t="shared" si="11"/>
        <v>1.6485120763220264E-3</v>
      </c>
      <c r="V14" s="14">
        <f t="shared" si="12"/>
        <v>1.3728121118104456E-3</v>
      </c>
      <c r="W14" s="6">
        <f t="shared" si="13"/>
        <v>0.65216842700868916</v>
      </c>
      <c r="X14" s="6">
        <f t="shared" si="14"/>
        <v>0.66046156903927344</v>
      </c>
      <c r="Y14" s="6">
        <f t="shared" si="15"/>
        <v>0.6667373053960397</v>
      </c>
      <c r="Z14" s="14">
        <f t="shared" si="16"/>
        <v>0.34783157299131084</v>
      </c>
      <c r="AA14" s="14">
        <f t="shared" si="17"/>
        <v>0.33953843096072656</v>
      </c>
      <c r="AB14" s="14">
        <f t="shared" si="18"/>
        <v>0.33326269460396019</v>
      </c>
    </row>
    <row r="15" spans="1:28" ht="27" customHeight="1" x14ac:dyDescent="0.3">
      <c r="A15" s="6">
        <f t="shared" si="0"/>
        <v>135</v>
      </c>
      <c r="B15" s="14">
        <v>10</v>
      </c>
      <c r="C15" s="14">
        <v>90</v>
      </c>
      <c r="D15" s="14">
        <v>35</v>
      </c>
      <c r="E15" s="6">
        <v>3.0846749709000001</v>
      </c>
      <c r="F15" s="6">
        <v>23.931711147800002</v>
      </c>
      <c r="G15" s="6">
        <v>9.6076138295</v>
      </c>
      <c r="H15" s="14">
        <f t="shared" si="1"/>
        <v>7.407407407407407E-2</v>
      </c>
      <c r="I15" s="14">
        <f t="shared" si="2"/>
        <v>0.66666666666666663</v>
      </c>
      <c r="J15" s="14">
        <f t="shared" si="3"/>
        <v>0.25925925925925924</v>
      </c>
      <c r="K15" s="6">
        <v>0.1019220277</v>
      </c>
      <c r="L15" s="6">
        <v>0.64231567460000005</v>
      </c>
      <c r="M15" s="6">
        <v>0.25576229769999997</v>
      </c>
      <c r="N15" s="14">
        <f t="shared" si="4"/>
        <v>5.080526342529086E-4</v>
      </c>
      <c r="O15" s="14">
        <f t="shared" si="5"/>
        <v>1.6460905349794241E-3</v>
      </c>
      <c r="P15" s="14">
        <f t="shared" si="6"/>
        <v>1.4225473759081439E-3</v>
      </c>
      <c r="Q15" s="6">
        <f t="shared" si="7"/>
        <v>4.1952691527979058E-4</v>
      </c>
      <c r="R15" s="6">
        <f t="shared" si="8"/>
        <v>1.0529946346539531E-3</v>
      </c>
      <c r="S15" s="15">
        <f t="shared" si="9"/>
        <v>8.7242061902976066E-4</v>
      </c>
      <c r="T15" s="14">
        <f t="shared" si="10"/>
        <v>8.8525718973118017E-5</v>
      </c>
      <c r="U15" s="14">
        <f t="shared" si="11"/>
        <v>5.9309590032547094E-4</v>
      </c>
      <c r="V15" s="14">
        <f t="shared" si="12"/>
        <v>5.5012675687838328E-4</v>
      </c>
      <c r="W15" s="6">
        <f t="shared" si="13"/>
        <v>0.1742451726547882</v>
      </c>
      <c r="X15" s="6">
        <f t="shared" si="14"/>
        <v>0.36030575944772358</v>
      </c>
      <c r="Y15" s="6">
        <f t="shared" si="15"/>
        <v>0.38671946270132923</v>
      </c>
      <c r="Z15" s="14">
        <f t="shared" si="16"/>
        <v>0.82575482734521177</v>
      </c>
      <c r="AA15" s="14">
        <f t="shared" si="17"/>
        <v>0.63969424055227642</v>
      </c>
      <c r="AB15" s="14">
        <f t="shared" si="18"/>
        <v>0.61328053729867071</v>
      </c>
    </row>
    <row r="16" spans="1:28" ht="27" customHeight="1" x14ac:dyDescent="0.3">
      <c r="A16" s="6">
        <f t="shared" si="0"/>
        <v>143</v>
      </c>
      <c r="B16" s="14">
        <v>39</v>
      </c>
      <c r="C16" s="14">
        <v>45</v>
      </c>
      <c r="D16" s="14">
        <v>59</v>
      </c>
      <c r="E16" s="6">
        <v>7.8687146180000003</v>
      </c>
      <c r="F16" s="6">
        <v>9.0833381370000001</v>
      </c>
      <c r="G16" s="6">
        <v>11.671947230000001</v>
      </c>
      <c r="H16" s="14">
        <f t="shared" si="1"/>
        <v>0.27272727272727271</v>
      </c>
      <c r="I16" s="14">
        <f t="shared" si="2"/>
        <v>0.31468531468531469</v>
      </c>
      <c r="J16" s="14">
        <f t="shared" si="3"/>
        <v>0.41258741258741261</v>
      </c>
      <c r="K16" s="6">
        <v>0.27675600420000002</v>
      </c>
      <c r="L16" s="6">
        <v>0.31281555230000002</v>
      </c>
      <c r="M16" s="6">
        <v>0.41042844340000001</v>
      </c>
      <c r="N16" s="14">
        <f t="shared" si="4"/>
        <v>1.3870427093567589E-3</v>
      </c>
      <c r="O16" s="14">
        <f t="shared" si="5"/>
        <v>1.5081011706763578E-3</v>
      </c>
      <c r="P16" s="14">
        <f t="shared" si="6"/>
        <v>1.6948184584743831E-3</v>
      </c>
      <c r="Q16" s="6">
        <f t="shared" si="7"/>
        <v>9.7176641761041055E-4</v>
      </c>
      <c r="R16" s="6">
        <f t="shared" si="8"/>
        <v>1.0436182302015189E-3</v>
      </c>
      <c r="S16" s="15">
        <f t="shared" si="9"/>
        <v>1.1747730411394138E-3</v>
      </c>
      <c r="T16" s="14">
        <f t="shared" si="10"/>
        <v>4.1527629174634834E-4</v>
      </c>
      <c r="U16" s="14">
        <f t="shared" si="11"/>
        <v>4.6448294047483885E-4</v>
      </c>
      <c r="V16" s="14">
        <f t="shared" si="12"/>
        <v>5.2004541733496933E-4</v>
      </c>
      <c r="W16" s="6">
        <f t="shared" si="13"/>
        <v>0.29939690317029438</v>
      </c>
      <c r="X16" s="6">
        <f t="shared" si="14"/>
        <v>0.30799189703335761</v>
      </c>
      <c r="Y16" s="6">
        <f t="shared" si="15"/>
        <v>0.30684431995335726</v>
      </c>
      <c r="Z16" s="14">
        <f t="shared" si="16"/>
        <v>0.70060309682970556</v>
      </c>
      <c r="AA16" s="14">
        <f t="shared" si="17"/>
        <v>0.69200810296664239</v>
      </c>
      <c r="AB16" s="14">
        <f t="shared" si="18"/>
        <v>0.69315568004664274</v>
      </c>
    </row>
    <row r="17" spans="1:53" ht="27" customHeight="1" x14ac:dyDescent="0.3">
      <c r="A17" s="6">
        <f t="shared" si="0"/>
        <v>167</v>
      </c>
      <c r="B17" s="14">
        <v>20</v>
      </c>
      <c r="C17" s="14">
        <v>90</v>
      </c>
      <c r="D17" s="14">
        <v>57</v>
      </c>
      <c r="E17" s="6">
        <v>0.81338652639999998</v>
      </c>
      <c r="F17" s="6">
        <v>2.4727124520000001</v>
      </c>
      <c r="G17" s="6">
        <v>1.337900935</v>
      </c>
      <c r="H17" s="14">
        <f t="shared" si="1"/>
        <v>0.11976047904191617</v>
      </c>
      <c r="I17" s="14">
        <f t="shared" si="2"/>
        <v>0.53892215568862278</v>
      </c>
      <c r="J17" s="14">
        <f t="shared" si="3"/>
        <v>0.3413173652694611</v>
      </c>
      <c r="K17" s="6">
        <v>0.1526664992</v>
      </c>
      <c r="L17" s="6">
        <v>0.56376514010000001</v>
      </c>
      <c r="M17" s="6">
        <v>0.28356836070000002</v>
      </c>
      <c r="N17" s="14">
        <f t="shared" si="4"/>
        <v>6.3124495030878391E-4</v>
      </c>
      <c r="O17" s="14">
        <f t="shared" si="5"/>
        <v>1.487934525727848E-3</v>
      </c>
      <c r="P17" s="14">
        <f t="shared" si="6"/>
        <v>1.3462264756585291E-3</v>
      </c>
      <c r="Q17" s="6">
        <f t="shared" si="7"/>
        <v>7.3342980758307513E-4</v>
      </c>
      <c r="R17" s="6">
        <f t="shared" si="8"/>
        <v>1.3943731702107604E-3</v>
      </c>
      <c r="S17" s="15">
        <f t="shared" si="9"/>
        <v>1.1518421363183029E-3</v>
      </c>
      <c r="T17" s="14">
        <f t="shared" si="10"/>
        <v>-1.0218485727429122E-4</v>
      </c>
      <c r="U17" s="14">
        <f t="shared" si="11"/>
        <v>9.3561355517087592E-5</v>
      </c>
      <c r="V17" s="14">
        <f t="shared" si="12"/>
        <v>1.9438433934022619E-4</v>
      </c>
      <c r="W17" s="6">
        <f t="shared" si="13"/>
        <v>-0.1618782965698273</v>
      </c>
      <c r="X17" s="6">
        <f t="shared" si="14"/>
        <v>6.2880021868785191E-2</v>
      </c>
      <c r="Y17" s="6">
        <f t="shared" si="15"/>
        <v>0.14439200450662645</v>
      </c>
      <c r="Z17" s="14">
        <f t="shared" si="16"/>
        <v>1.1618782965698273</v>
      </c>
      <c r="AA17" s="14">
        <f t="shared" si="17"/>
        <v>0.93711997813121484</v>
      </c>
      <c r="AB17" s="14">
        <f t="shared" si="18"/>
        <v>0.85560799549337352</v>
      </c>
    </row>
    <row r="18" spans="1:53" ht="27" customHeight="1" x14ac:dyDescent="0.3">
      <c r="A18" s="6">
        <f t="shared" si="0"/>
        <v>210</v>
      </c>
      <c r="B18" s="14">
        <v>40</v>
      </c>
      <c r="C18" s="14">
        <v>80</v>
      </c>
      <c r="D18" s="14">
        <v>90</v>
      </c>
      <c r="E18" s="6">
        <v>1</v>
      </c>
      <c r="F18" s="6">
        <v>1</v>
      </c>
      <c r="G18" s="6">
        <v>1</v>
      </c>
      <c r="H18" s="14">
        <f t="shared" si="1"/>
        <v>0.19047619047619047</v>
      </c>
      <c r="I18" s="14">
        <f t="shared" si="2"/>
        <v>0.38095238095238093</v>
      </c>
      <c r="J18" s="14">
        <f t="shared" si="3"/>
        <v>0.42857142857142855</v>
      </c>
      <c r="K18" s="6">
        <v>0.33865682580000001</v>
      </c>
      <c r="L18" s="6">
        <v>0.33183995560000001</v>
      </c>
      <c r="M18" s="6">
        <v>0.32950321859999998</v>
      </c>
      <c r="N18" s="14">
        <f t="shared" si="4"/>
        <v>7.3426195875175469E-4</v>
      </c>
      <c r="O18" s="14">
        <f t="shared" si="5"/>
        <v>1.1229888780909189E-3</v>
      </c>
      <c r="P18" s="14">
        <f t="shared" si="6"/>
        <v>1.1661807580174925E-3</v>
      </c>
      <c r="Q18" s="6">
        <f t="shared" si="7"/>
        <v>1.0366849573321955E-3</v>
      </c>
      <c r="R18" s="6">
        <f t="shared" si="8"/>
        <v>1.0262880356223833E-3</v>
      </c>
      <c r="S18" s="15">
        <f t="shared" si="9"/>
        <v>1.0226250960296795E-3</v>
      </c>
      <c r="T18" s="14">
        <f t="shared" si="10"/>
        <v>-3.0242299858044077E-4</v>
      </c>
      <c r="U18" s="14">
        <f t="shared" si="11"/>
        <v>9.67008424685356E-5</v>
      </c>
      <c r="V18" s="14">
        <f t="shared" si="12"/>
        <v>1.4355566198781295E-4</v>
      </c>
      <c r="W18" s="6">
        <f t="shared" si="13"/>
        <v>-0.41187343968433265</v>
      </c>
      <c r="X18" s="6">
        <f t="shared" si="14"/>
        <v>8.6110240586645015E-2</v>
      </c>
      <c r="Y18" s="6">
        <f t="shared" si="15"/>
        <v>0.12309898015454962</v>
      </c>
      <c r="Z18" s="14">
        <f t="shared" si="16"/>
        <v>1.4118734396843327</v>
      </c>
      <c r="AA18" s="14">
        <f t="shared" si="17"/>
        <v>0.91388975941335493</v>
      </c>
      <c r="AB18" s="14">
        <f t="shared" si="18"/>
        <v>0.87690101984545032</v>
      </c>
    </row>
    <row r="19" spans="1:53" x14ac:dyDescent="0.3">
      <c r="E19" s="6"/>
      <c r="F19" s="6"/>
      <c r="G19" s="6"/>
    </row>
    <row r="20" spans="1:53" x14ac:dyDescent="0.3">
      <c r="E20" s="6"/>
      <c r="F20" s="6"/>
      <c r="G20" s="6"/>
    </row>
    <row r="21" spans="1:53" x14ac:dyDescent="0.3">
      <c r="E21" s="6"/>
      <c r="F21" s="6"/>
      <c r="G21" s="6"/>
    </row>
    <row r="27" spans="1:53" ht="15" thickBot="1" x14ac:dyDescent="0.35"/>
    <row r="28" spans="1:53" ht="29.4" thickBot="1" x14ac:dyDescent="0.35">
      <c r="Z28" s="10" t="s">
        <v>2</v>
      </c>
      <c r="AA28" s="9" t="s">
        <v>0</v>
      </c>
      <c r="AB28" s="9"/>
      <c r="AC28" s="9"/>
      <c r="AD28" s="11" t="s">
        <v>3</v>
      </c>
      <c r="AE28" s="11"/>
      <c r="AF28" s="11"/>
      <c r="AG28" s="16" t="s">
        <v>7</v>
      </c>
      <c r="AH28" s="16"/>
      <c r="AI28" s="16"/>
      <c r="AJ28" s="12" t="s">
        <v>6</v>
      </c>
      <c r="AK28" s="12"/>
      <c r="AL28" s="12"/>
      <c r="AM28" s="16" t="s">
        <v>5</v>
      </c>
      <c r="AN28" s="16"/>
      <c r="AO28" s="16"/>
      <c r="AP28" s="12" t="s">
        <v>4</v>
      </c>
      <c r="AQ28" s="12"/>
      <c r="AR28" s="12"/>
      <c r="AS28" s="16" t="s">
        <v>8</v>
      </c>
      <c r="AT28" s="16"/>
      <c r="AU28" s="16"/>
      <c r="AV28" s="12" t="s">
        <v>9</v>
      </c>
      <c r="AW28" s="12"/>
      <c r="AX28" s="12"/>
      <c r="AY28" s="9" t="s">
        <v>1</v>
      </c>
      <c r="AZ28" s="9"/>
      <c r="BA28" s="9"/>
    </row>
    <row r="29" spans="1:53" x14ac:dyDescent="0.3">
      <c r="Z29" s="6">
        <f t="shared" ref="Z29:Z45" si="19">SUM(AA29:AC29)</f>
        <v>15</v>
      </c>
      <c r="AA29" s="14">
        <v>3</v>
      </c>
      <c r="AB29" s="14">
        <v>5</v>
      </c>
      <c r="AC29" s="14">
        <v>7</v>
      </c>
      <c r="AD29" s="6">
        <v>31.52323955</v>
      </c>
      <c r="AE29" s="6">
        <v>52.208327279999999</v>
      </c>
      <c r="AF29" s="6">
        <v>72.892433159999996</v>
      </c>
      <c r="AG29" s="14">
        <f t="shared" ref="AG29:AG45" si="20">DIVIDE(AA29,Z29)</f>
        <v>0.2</v>
      </c>
      <c r="AH29" s="14">
        <f t="shared" ref="AH29:AH45" si="21">DIVIDE(AB29,Z29)</f>
        <v>0.33333333333333331</v>
      </c>
      <c r="AI29" s="14">
        <f t="shared" ref="AI29:AI45" si="22">DIVIDE(AC29,Z29)</f>
        <v>0.46666666666666667</v>
      </c>
      <c r="AJ29" s="6">
        <v>0.2074641699</v>
      </c>
      <c r="AK29" s="6">
        <v>0.33058768710000003</v>
      </c>
      <c r="AL29" s="6">
        <v>0.46194814299999998</v>
      </c>
      <c r="AM29" s="14">
        <f t="shared" ref="AM29:AM45" si="23">ERROR_VAR(AG29,Z29)</f>
        <v>1.0666666666666668E-2</v>
      </c>
      <c r="AN29" s="14">
        <f t="shared" ref="AN29:AN45" si="24">ERROR_VAR(AH29,Z29)</f>
        <v>1.4814814814814815E-2</v>
      </c>
      <c r="AO29" s="14">
        <f t="shared" ref="AO29:AO45" si="25">ERROR_VAR(AI29,Z29)</f>
        <v>1.6592592592592593E-2</v>
      </c>
      <c r="AP29" s="6">
        <f t="shared" ref="AP29:AP45" si="26">ERROR_VAR_STO(AJ29,AD29,AE29,AF29,Z29)</f>
        <v>8.3733111126833504E-5</v>
      </c>
      <c r="AQ29" s="6">
        <f t="shared" ref="AQ29:AQ45" si="27">ERROR_VAR_STO(AK29,AD29,AE29,AF29,Z29)</f>
        <v>1.1269783939032184E-4</v>
      </c>
      <c r="AR29" s="15">
        <f t="shared" ref="AR29:AR45" si="28">ERROR_VAR_STO(AL29,AD29,AE29,AF29,Z29)</f>
        <v>1.265763534382714E-4</v>
      </c>
      <c r="AS29" s="14">
        <f t="shared" ref="AS29:AS45" si="29">SUM(AM29,-AP29)</f>
        <v>1.0582933555539834E-2</v>
      </c>
      <c r="AT29" s="14">
        <f t="shared" ref="AT29:AT45" si="30">SUM(AN29,-AQ29)</f>
        <v>1.4702116975424494E-2</v>
      </c>
      <c r="AU29" s="14">
        <f t="shared" ref="AU29:AU45" si="31">SUM(AO29,-AR29)</f>
        <v>1.6466016239154321E-2</v>
      </c>
      <c r="AV29" s="6">
        <f t="shared" ref="AV29:AV45" si="32">DIVIDE(AS29,AM29)</f>
        <v>0.99215002083185933</v>
      </c>
      <c r="AW29" s="6">
        <f t="shared" ref="AW29:AW45" si="33">DIVIDE(AT29,AN29)</f>
        <v>0.99239289584115331</v>
      </c>
      <c r="AX29" s="6">
        <f t="shared" ref="AX29:AX45" si="34">DIVIDE(AU29,AO29)</f>
        <v>0.9923715144133185</v>
      </c>
      <c r="AY29" s="14">
        <f t="shared" ref="AY29:AY45" si="35">DIVIDE(AP29,AM29)</f>
        <v>7.8499791681406403E-3</v>
      </c>
      <c r="AZ29" s="14">
        <f t="shared" ref="AZ29:AZ45" si="36">DIVIDE(AQ29,AN29)</f>
        <v>7.6071041588467239E-3</v>
      </c>
      <c r="BA29" s="14">
        <f t="shared" ref="BA29:BA45" si="37">DIVIDE(AR29,AO29)</f>
        <v>7.6284855866815349E-3</v>
      </c>
    </row>
    <row r="30" spans="1:53" x14ac:dyDescent="0.3">
      <c r="Z30" s="6">
        <f t="shared" si="19"/>
        <v>20</v>
      </c>
      <c r="AA30" s="14">
        <v>5</v>
      </c>
      <c r="AB30" s="14">
        <v>10</v>
      </c>
      <c r="AC30" s="14">
        <v>5</v>
      </c>
      <c r="AD30" s="6">
        <v>38.030251120000003</v>
      </c>
      <c r="AE30" s="6">
        <v>75.563608779999996</v>
      </c>
      <c r="AF30" s="6">
        <v>38.030140090000003</v>
      </c>
      <c r="AG30" s="14">
        <f t="shared" si="20"/>
        <v>0.25</v>
      </c>
      <c r="AH30" s="14">
        <f t="shared" si="21"/>
        <v>0.5</v>
      </c>
      <c r="AI30" s="14">
        <f t="shared" si="22"/>
        <v>0.25</v>
      </c>
      <c r="AJ30" s="6">
        <v>0.2451192609</v>
      </c>
      <c r="AK30" s="6">
        <v>0.49157172059999998</v>
      </c>
      <c r="AL30" s="6">
        <v>0.26330901849999999</v>
      </c>
      <c r="AM30" s="14">
        <f t="shared" si="23"/>
        <v>9.3749999999999997E-3</v>
      </c>
      <c r="AN30" s="14">
        <f t="shared" si="24"/>
        <v>1.2500000000000001E-2</v>
      </c>
      <c r="AO30" s="14">
        <f t="shared" si="25"/>
        <v>9.3749999999999997E-3</v>
      </c>
      <c r="AP30" s="6">
        <f t="shared" si="26"/>
        <v>1.2564052401743515E-4</v>
      </c>
      <c r="AQ30" s="6">
        <f t="shared" si="27"/>
        <v>1.6970340073642801E-4</v>
      </c>
      <c r="AR30" s="15">
        <f t="shared" si="28"/>
        <v>1.3171190880927663E-4</v>
      </c>
      <c r="AS30" s="14">
        <f t="shared" si="29"/>
        <v>9.2493594759825645E-3</v>
      </c>
      <c r="AT30" s="14">
        <f t="shared" si="30"/>
        <v>1.2330296599263572E-2</v>
      </c>
      <c r="AU30" s="14">
        <f t="shared" si="31"/>
        <v>9.2432880911907222E-3</v>
      </c>
      <c r="AV30" s="6">
        <f t="shared" si="32"/>
        <v>0.98659834410480696</v>
      </c>
      <c r="AW30" s="6">
        <f t="shared" si="33"/>
        <v>0.98642372794108568</v>
      </c>
      <c r="AX30" s="6">
        <f t="shared" si="34"/>
        <v>0.98595072972701037</v>
      </c>
      <c r="AY30" s="14">
        <f t="shared" si="35"/>
        <v>1.3401655895193083E-2</v>
      </c>
      <c r="AZ30" s="14">
        <f t="shared" si="36"/>
        <v>1.357627205891424E-2</v>
      </c>
      <c r="BA30" s="14">
        <f t="shared" si="37"/>
        <v>1.4049270272989507E-2</v>
      </c>
    </row>
    <row r="31" spans="1:53" x14ac:dyDescent="0.3">
      <c r="Z31" s="6">
        <f t="shared" si="19"/>
        <v>21</v>
      </c>
      <c r="AA31" s="14">
        <v>7</v>
      </c>
      <c r="AB31" s="14">
        <v>7</v>
      </c>
      <c r="AC31" s="14">
        <v>7</v>
      </c>
      <c r="AD31" s="6">
        <v>50.208591419999998</v>
      </c>
      <c r="AE31" s="6">
        <v>50.207386749999998</v>
      </c>
      <c r="AF31" s="6">
        <v>50.208014589999998</v>
      </c>
      <c r="AG31" s="14">
        <f t="shared" si="20"/>
        <v>0.33333333333333331</v>
      </c>
      <c r="AH31" s="14">
        <f t="shared" si="21"/>
        <v>0.33333333333333331</v>
      </c>
      <c r="AI31" s="14">
        <f t="shared" si="22"/>
        <v>0.33333333333333331</v>
      </c>
      <c r="AJ31" s="6">
        <v>0.34464237180000001</v>
      </c>
      <c r="AK31" s="6">
        <v>0.32533347089999998</v>
      </c>
      <c r="AL31" s="6">
        <v>0.33002415730000001</v>
      </c>
      <c r="AM31" s="14">
        <f t="shared" si="23"/>
        <v>1.0582010582010583E-2</v>
      </c>
      <c r="AN31" s="14">
        <f t="shared" si="24"/>
        <v>1.0582010582010583E-2</v>
      </c>
      <c r="AO31" s="14">
        <f t="shared" si="25"/>
        <v>1.0582010582010583E-2</v>
      </c>
      <c r="AP31" s="6">
        <f t="shared" si="26"/>
        <v>1.6103130821764296E-4</v>
      </c>
      <c r="AQ31" s="6">
        <f t="shared" si="27"/>
        <v>1.564880588349233E-4</v>
      </c>
      <c r="AR31" s="15">
        <f t="shared" si="28"/>
        <v>1.5764063162102991E-4</v>
      </c>
      <c r="AS31" s="14">
        <f t="shared" si="29"/>
        <v>1.042097927379294E-2</v>
      </c>
      <c r="AT31" s="14">
        <f t="shared" si="30"/>
        <v>1.042552252317566E-2</v>
      </c>
      <c r="AU31" s="14">
        <f t="shared" si="31"/>
        <v>1.0424369950389553E-2</v>
      </c>
      <c r="AV31" s="6">
        <f t="shared" si="32"/>
        <v>0.98478254137343268</v>
      </c>
      <c r="AW31" s="6">
        <f t="shared" si="33"/>
        <v>0.98521187844009983</v>
      </c>
      <c r="AX31" s="6">
        <f t="shared" si="34"/>
        <v>0.98510296031181266</v>
      </c>
      <c r="AY31" s="14">
        <f t="shared" si="35"/>
        <v>1.5217458626567258E-2</v>
      </c>
      <c r="AZ31" s="14">
        <f t="shared" si="36"/>
        <v>1.4788121559900251E-2</v>
      </c>
      <c r="BA31" s="14">
        <f t="shared" si="37"/>
        <v>1.4897039688187324E-2</v>
      </c>
    </row>
    <row r="32" spans="1:53" x14ac:dyDescent="0.3">
      <c r="Z32" s="6">
        <f t="shared" si="19"/>
        <v>38</v>
      </c>
      <c r="AA32" s="14">
        <v>10</v>
      </c>
      <c r="AB32" s="14">
        <v>25</v>
      </c>
      <c r="AC32" s="14">
        <v>3</v>
      </c>
      <c r="AD32" s="6">
        <v>35.27294775</v>
      </c>
      <c r="AE32" s="6">
        <v>87.427947360000005</v>
      </c>
      <c r="AF32" s="6">
        <v>10.92310488</v>
      </c>
      <c r="AG32" s="14">
        <f t="shared" si="20"/>
        <v>0.26315789473684209</v>
      </c>
      <c r="AH32" s="14">
        <f t="shared" si="21"/>
        <v>0.65789473684210531</v>
      </c>
      <c r="AI32" s="14">
        <f t="shared" si="22"/>
        <v>7.8947368421052627E-2</v>
      </c>
      <c r="AJ32" s="6">
        <v>0.26843853020000003</v>
      </c>
      <c r="AK32" s="6">
        <v>0.64994635670000001</v>
      </c>
      <c r="AL32" s="6">
        <v>8.1615113020000005E-2</v>
      </c>
      <c r="AM32" s="14">
        <f t="shared" si="23"/>
        <v>5.102784662487243E-3</v>
      </c>
      <c r="AN32" s="14">
        <f t="shared" si="24"/>
        <v>5.9228750546726928E-3</v>
      </c>
      <c r="AO32" s="14">
        <f t="shared" si="25"/>
        <v>1.9135442484327161E-3</v>
      </c>
      <c r="AP32" s="6">
        <f t="shared" si="26"/>
        <v>2.5335135605802792E-4</v>
      </c>
      <c r="AQ32" s="6">
        <f t="shared" si="27"/>
        <v>2.935213342300252E-4</v>
      </c>
      <c r="AR32" s="15">
        <f t="shared" si="28"/>
        <v>9.669919793196535E-5</v>
      </c>
      <c r="AS32" s="14">
        <f t="shared" si="29"/>
        <v>4.8494333064292147E-3</v>
      </c>
      <c r="AT32" s="14">
        <f t="shared" si="30"/>
        <v>5.6293537204426675E-3</v>
      </c>
      <c r="AU32" s="14">
        <f t="shared" si="31"/>
        <v>1.8168450505007508E-3</v>
      </c>
      <c r="AV32" s="6">
        <f t="shared" si="32"/>
        <v>0.95035037282279955</v>
      </c>
      <c r="AW32" s="6">
        <f t="shared" si="33"/>
        <v>0.95044276107116943</v>
      </c>
      <c r="AX32" s="6">
        <f t="shared" si="34"/>
        <v>0.94946592010549713</v>
      </c>
      <c r="AY32" s="14">
        <f t="shared" si="35"/>
        <v>4.9649627177200388E-2</v>
      </c>
      <c r="AZ32" s="14">
        <f t="shared" si="36"/>
        <v>4.9557238928830592E-2</v>
      </c>
      <c r="BA32" s="14">
        <f t="shared" si="37"/>
        <v>5.0534079894502884E-2</v>
      </c>
    </row>
    <row r="33" spans="26:53" x14ac:dyDescent="0.3">
      <c r="Z33" s="6">
        <f t="shared" si="19"/>
        <v>40</v>
      </c>
      <c r="AA33" s="14">
        <v>20</v>
      </c>
      <c r="AB33" s="14">
        <v>12</v>
      </c>
      <c r="AC33" s="14">
        <v>8</v>
      </c>
      <c r="AD33" s="6">
        <v>65.563666049999995</v>
      </c>
      <c r="AE33" s="6">
        <v>39.537087739999997</v>
      </c>
      <c r="AF33" s="6">
        <v>26.523245970000001</v>
      </c>
      <c r="AG33" s="14">
        <f t="shared" si="20"/>
        <v>0.5</v>
      </c>
      <c r="AH33" s="14">
        <f t="shared" si="21"/>
        <v>0.3</v>
      </c>
      <c r="AI33" s="14">
        <f t="shared" si="22"/>
        <v>0.2</v>
      </c>
      <c r="AJ33" s="6">
        <v>0.48885131910000001</v>
      </c>
      <c r="AK33" s="6">
        <v>0.3129478987</v>
      </c>
      <c r="AL33" s="6">
        <v>0.19820078229999999</v>
      </c>
      <c r="AM33" s="14">
        <f t="shared" si="23"/>
        <v>6.2500000000000003E-3</v>
      </c>
      <c r="AN33" s="14">
        <f t="shared" si="24"/>
        <v>5.2499999999999995E-3</v>
      </c>
      <c r="AO33" s="14">
        <f t="shared" si="25"/>
        <v>4.000000000000001E-3</v>
      </c>
      <c r="AP33" s="6">
        <f t="shared" si="26"/>
        <v>3.3933447841898368E-4</v>
      </c>
      <c r="AQ33" s="6">
        <f t="shared" si="27"/>
        <v>2.9198844487831276E-4</v>
      </c>
      <c r="AR33" s="15">
        <f t="shared" si="28"/>
        <v>2.1581167999426342E-4</v>
      </c>
      <c r="AS33" s="14">
        <f t="shared" si="29"/>
        <v>5.9106655215810169E-3</v>
      </c>
      <c r="AT33" s="14">
        <f t="shared" si="30"/>
        <v>4.9580115551216865E-3</v>
      </c>
      <c r="AU33" s="14">
        <f t="shared" si="31"/>
        <v>3.7841883200057376E-3</v>
      </c>
      <c r="AV33" s="6">
        <f t="shared" si="32"/>
        <v>0.94570648345296271</v>
      </c>
      <c r="AW33" s="6">
        <f t="shared" si="33"/>
        <v>0.9443831533565118</v>
      </c>
      <c r="AX33" s="6">
        <f t="shared" si="34"/>
        <v>0.94604708000143412</v>
      </c>
      <c r="AY33" s="14">
        <f t="shared" si="35"/>
        <v>5.4293516547037388E-2</v>
      </c>
      <c r="AZ33" s="14">
        <f t="shared" si="36"/>
        <v>5.5616846643488149E-2</v>
      </c>
      <c r="BA33" s="14">
        <f t="shared" si="37"/>
        <v>5.3952919998565843E-2</v>
      </c>
    </row>
    <row r="34" spans="26:53" x14ac:dyDescent="0.3">
      <c r="Z34" s="6">
        <f t="shared" si="19"/>
        <v>45</v>
      </c>
      <c r="AA34" s="14">
        <v>12</v>
      </c>
      <c r="AB34" s="14">
        <v>30</v>
      </c>
      <c r="AC34" s="14">
        <v>3</v>
      </c>
      <c r="AD34" s="6">
        <v>33.867246719999997</v>
      </c>
      <c r="AE34" s="6">
        <v>83.923019339999996</v>
      </c>
      <c r="AF34" s="6">
        <v>8.8337338600000006</v>
      </c>
      <c r="AG34" s="14">
        <f t="shared" si="20"/>
        <v>0.26666666666666666</v>
      </c>
      <c r="AH34" s="14">
        <f t="shared" si="21"/>
        <v>0.66666666666666663</v>
      </c>
      <c r="AI34" s="14">
        <f t="shared" si="22"/>
        <v>6.6666666666666666E-2</v>
      </c>
      <c r="AJ34" s="6">
        <v>0.27033345399999997</v>
      </c>
      <c r="AK34" s="6">
        <v>0.66106077689999998</v>
      </c>
      <c r="AL34" s="6">
        <v>6.8605769159999996E-2</v>
      </c>
      <c r="AM34" s="14">
        <f t="shared" si="23"/>
        <v>4.345679012345679E-3</v>
      </c>
      <c r="AN34" s="14">
        <f t="shared" si="24"/>
        <v>4.9382716049382724E-3</v>
      </c>
      <c r="AO34" s="14">
        <f t="shared" si="25"/>
        <v>1.382716049382716E-3</v>
      </c>
      <c r="AP34" s="6">
        <f t="shared" si="26"/>
        <v>3.0135659699655947E-4</v>
      </c>
      <c r="AQ34" s="6">
        <f t="shared" si="27"/>
        <v>3.4231008474401537E-4</v>
      </c>
      <c r="AR34" s="15">
        <f t="shared" si="28"/>
        <v>9.7622664243212986E-5</v>
      </c>
      <c r="AS34" s="14">
        <f t="shared" si="29"/>
        <v>4.0443224153491192E-3</v>
      </c>
      <c r="AT34" s="14">
        <f t="shared" si="30"/>
        <v>4.5959615201942566E-3</v>
      </c>
      <c r="AU34" s="14">
        <f t="shared" si="31"/>
        <v>1.2850933851395029E-3</v>
      </c>
      <c r="AV34" s="6">
        <f t="shared" si="32"/>
        <v>0.93065373762295067</v>
      </c>
      <c r="AW34" s="6">
        <f t="shared" si="33"/>
        <v>0.93068220783933686</v>
      </c>
      <c r="AX34" s="6">
        <f t="shared" si="34"/>
        <v>0.92939789460981914</v>
      </c>
      <c r="AY34" s="14">
        <f t="shared" si="35"/>
        <v>6.9346262377049189E-2</v>
      </c>
      <c r="AZ34" s="14">
        <f t="shared" si="36"/>
        <v>6.9317792160663097E-2</v>
      </c>
      <c r="BA34" s="14">
        <f t="shared" si="37"/>
        <v>7.0602105390180817E-2</v>
      </c>
    </row>
    <row r="35" spans="26:53" x14ac:dyDescent="0.3">
      <c r="Z35" s="6">
        <f t="shared" si="19"/>
        <v>47</v>
      </c>
      <c r="AA35" s="14">
        <v>11</v>
      </c>
      <c r="AB35" s="14">
        <v>12</v>
      </c>
      <c r="AC35" s="14">
        <v>24</v>
      </c>
      <c r="AD35" s="6">
        <v>29.314989749999999</v>
      </c>
      <c r="AE35" s="6">
        <v>31.935485280000002</v>
      </c>
      <c r="AF35" s="6">
        <v>63.373524920000001</v>
      </c>
      <c r="AG35" s="14">
        <f t="shared" si="20"/>
        <v>0.23404255319148937</v>
      </c>
      <c r="AH35" s="14">
        <f t="shared" si="21"/>
        <v>0.25531914893617019</v>
      </c>
      <c r="AI35" s="14">
        <f t="shared" si="22"/>
        <v>0.51063829787234039</v>
      </c>
      <c r="AJ35" s="6">
        <v>0.23374453549999999</v>
      </c>
      <c r="AK35" s="6">
        <v>0.25663987370000002</v>
      </c>
      <c r="AL35" s="6">
        <v>0.50961559089999997</v>
      </c>
      <c r="AM35" s="14">
        <f t="shared" si="23"/>
        <v>3.8141837550446432E-3</v>
      </c>
      <c r="AN35" s="14">
        <f t="shared" si="24"/>
        <v>4.0453464068655309E-3</v>
      </c>
      <c r="AO35" s="14">
        <f t="shared" si="25"/>
        <v>5.3167409918804115E-3</v>
      </c>
      <c r="AP35" s="6">
        <f t="shared" si="26"/>
        <v>2.8579647640308891E-4</v>
      </c>
      <c r="AQ35" s="6">
        <f t="shared" si="27"/>
        <v>3.0441441475034857E-4</v>
      </c>
      <c r="AR35" s="15">
        <f t="shared" si="28"/>
        <v>3.987688068688445E-4</v>
      </c>
      <c r="AS35" s="14">
        <f t="shared" si="29"/>
        <v>3.5283872786415543E-3</v>
      </c>
      <c r="AT35" s="14">
        <f t="shared" si="30"/>
        <v>3.7409319921151824E-3</v>
      </c>
      <c r="AU35" s="14">
        <f t="shared" si="31"/>
        <v>4.9179721850115673E-3</v>
      </c>
      <c r="AV35" s="6">
        <f t="shared" si="32"/>
        <v>0.92507008189495477</v>
      </c>
      <c r="AW35" s="6">
        <f t="shared" si="33"/>
        <v>0.92474948146993941</v>
      </c>
      <c r="AX35" s="6">
        <f t="shared" si="34"/>
        <v>0.92499751116749274</v>
      </c>
      <c r="AY35" s="14">
        <f t="shared" si="35"/>
        <v>7.4929918105045207E-2</v>
      </c>
      <c r="AZ35" s="14">
        <f t="shared" si="36"/>
        <v>7.5250518530060567E-2</v>
      </c>
      <c r="BA35" s="14">
        <f t="shared" si="37"/>
        <v>7.5002488832507333E-2</v>
      </c>
    </row>
    <row r="36" spans="26:53" x14ac:dyDescent="0.3">
      <c r="Z36" s="6">
        <f t="shared" si="19"/>
        <v>50</v>
      </c>
      <c r="AA36" s="14">
        <v>17</v>
      </c>
      <c r="AB36" s="14">
        <v>10</v>
      </c>
      <c r="AC36" s="14">
        <v>23</v>
      </c>
      <c r="AD36" s="6">
        <v>41.342469350000002</v>
      </c>
      <c r="AE36" s="6">
        <v>24.52302663</v>
      </c>
      <c r="AF36" s="6">
        <v>55.758503990000001</v>
      </c>
      <c r="AG36" s="14">
        <f t="shared" si="20"/>
        <v>0.34</v>
      </c>
      <c r="AH36" s="14">
        <f t="shared" si="21"/>
        <v>0.2</v>
      </c>
      <c r="AI36" s="14">
        <f t="shared" si="22"/>
        <v>0.46</v>
      </c>
      <c r="AJ36" s="6">
        <v>0.34111098049999999</v>
      </c>
      <c r="AK36" s="6">
        <v>0.19921794300000001</v>
      </c>
      <c r="AL36" s="6">
        <v>0.4596710765</v>
      </c>
      <c r="AM36" s="14">
        <f t="shared" si="23"/>
        <v>4.4879999999999998E-3</v>
      </c>
      <c r="AN36" s="14">
        <f t="shared" si="24"/>
        <v>3.2000000000000006E-3</v>
      </c>
      <c r="AO36" s="14">
        <f t="shared" si="25"/>
        <v>4.9680000000000011E-3</v>
      </c>
      <c r="AP36" s="6">
        <f t="shared" si="26"/>
        <v>3.815240632821915E-4</v>
      </c>
      <c r="AQ36" s="6">
        <f t="shared" si="27"/>
        <v>2.7080504443158579E-4</v>
      </c>
      <c r="AR36" s="15">
        <f t="shared" si="28"/>
        <v>4.2161820847991922E-4</v>
      </c>
      <c r="AS36" s="14">
        <f t="shared" si="29"/>
        <v>4.1064759367178084E-3</v>
      </c>
      <c r="AT36" s="14">
        <f t="shared" si="30"/>
        <v>2.9291949555684147E-3</v>
      </c>
      <c r="AU36" s="14">
        <f t="shared" si="31"/>
        <v>4.5463817915200816E-3</v>
      </c>
      <c r="AV36" s="6">
        <f t="shared" si="32"/>
        <v>0.91499018197812132</v>
      </c>
      <c r="AW36" s="6">
        <f t="shared" si="33"/>
        <v>0.91537342361512941</v>
      </c>
      <c r="AX36" s="6">
        <f t="shared" si="34"/>
        <v>0.91513321085347843</v>
      </c>
      <c r="AY36" s="14">
        <f t="shared" si="35"/>
        <v>8.500981802187868E-2</v>
      </c>
      <c r="AZ36" s="14">
        <f t="shared" si="36"/>
        <v>8.4626576384870547E-2</v>
      </c>
      <c r="BA36" s="14">
        <f t="shared" si="37"/>
        <v>8.4866789146521557E-2</v>
      </c>
    </row>
    <row r="37" spans="26:53" x14ac:dyDescent="0.3">
      <c r="Z37" s="6">
        <f t="shared" si="19"/>
        <v>57</v>
      </c>
      <c r="AA37" s="14">
        <v>2</v>
      </c>
      <c r="AB37" s="14">
        <v>30</v>
      </c>
      <c r="AC37" s="14">
        <v>25</v>
      </c>
      <c r="AD37" s="6">
        <v>4.4526014590000003</v>
      </c>
      <c r="AE37" s="6">
        <v>60.048304979999997</v>
      </c>
      <c r="AF37" s="6">
        <v>50.123093539999999</v>
      </c>
      <c r="AG37" s="14">
        <f t="shared" si="20"/>
        <v>3.5087719298245612E-2</v>
      </c>
      <c r="AH37" s="14">
        <f t="shared" si="21"/>
        <v>0.52631578947368418</v>
      </c>
      <c r="AI37" s="14">
        <f t="shared" si="22"/>
        <v>0.43859649122807015</v>
      </c>
      <c r="AJ37" s="6">
        <v>3.8553937810000001E-2</v>
      </c>
      <c r="AK37" s="6">
        <v>0.51684234650000005</v>
      </c>
      <c r="AL37" s="6">
        <v>0.44460371570000001</v>
      </c>
      <c r="AM37" s="14">
        <f t="shared" si="23"/>
        <v>5.9397493425777427E-4</v>
      </c>
      <c r="AN37" s="14">
        <f t="shared" si="24"/>
        <v>4.3738154249890653E-3</v>
      </c>
      <c r="AO37" s="14">
        <f t="shared" si="25"/>
        <v>4.3198177036929035E-3</v>
      </c>
      <c r="AP37" s="6">
        <f t="shared" si="26"/>
        <v>7.1731924678971178E-5</v>
      </c>
      <c r="AQ37" s="6">
        <f t="shared" si="27"/>
        <v>4.8324321968856818E-4</v>
      </c>
      <c r="AR37" s="15">
        <f t="shared" si="28"/>
        <v>4.7785361310958825E-4</v>
      </c>
      <c r="AS37" s="14">
        <f t="shared" si="29"/>
        <v>5.2224300957880306E-4</v>
      </c>
      <c r="AT37" s="14">
        <f t="shared" si="30"/>
        <v>3.8905722053004972E-3</v>
      </c>
      <c r="AU37" s="14">
        <f t="shared" si="31"/>
        <v>3.8419640905833154E-3</v>
      </c>
      <c r="AV37" s="6">
        <f t="shared" si="32"/>
        <v>0.87923408793570257</v>
      </c>
      <c r="AW37" s="6">
        <f t="shared" si="33"/>
        <v>0.88951449187187037</v>
      </c>
      <c r="AX37" s="6">
        <f t="shared" si="34"/>
        <v>0.88938106978424503</v>
      </c>
      <c r="AY37" s="14">
        <f t="shared" si="35"/>
        <v>0.12076591206429736</v>
      </c>
      <c r="AZ37" s="14">
        <f t="shared" si="36"/>
        <v>0.11048550812812964</v>
      </c>
      <c r="BA37" s="14">
        <f t="shared" si="37"/>
        <v>0.11061893021575499</v>
      </c>
    </row>
    <row r="38" spans="26:53" x14ac:dyDescent="0.3">
      <c r="Z38" s="6">
        <f t="shared" si="19"/>
        <v>60</v>
      </c>
      <c r="AA38" s="14">
        <v>16</v>
      </c>
      <c r="AB38" s="14">
        <v>18</v>
      </c>
      <c r="AC38" s="14">
        <v>26</v>
      </c>
      <c r="AD38" s="6">
        <v>29.772468679999999</v>
      </c>
      <c r="AE38" s="6">
        <v>33.697585799999999</v>
      </c>
      <c r="AF38" s="6">
        <v>48.153945489999998</v>
      </c>
      <c r="AG38" s="14">
        <f t="shared" si="20"/>
        <v>0.26666666666666666</v>
      </c>
      <c r="AH38" s="14">
        <f t="shared" si="21"/>
        <v>0.3</v>
      </c>
      <c r="AI38" s="14">
        <f t="shared" si="22"/>
        <v>0.43333333333333335</v>
      </c>
      <c r="AJ38" s="6">
        <v>0.26472091419999999</v>
      </c>
      <c r="AK38" s="6">
        <v>0.31152145199999998</v>
      </c>
      <c r="AL38" s="6">
        <v>0.42375763389999999</v>
      </c>
      <c r="AM38" s="14">
        <f t="shared" si="23"/>
        <v>3.2592592592592595E-3</v>
      </c>
      <c r="AN38" s="14">
        <f t="shared" si="24"/>
        <v>3.5000000000000001E-3</v>
      </c>
      <c r="AO38" s="14">
        <f t="shared" si="25"/>
        <v>4.092592592592593E-3</v>
      </c>
      <c r="AP38" s="6">
        <f t="shared" si="26"/>
        <v>3.9649314039096642E-4</v>
      </c>
      <c r="AQ38" s="6">
        <f t="shared" si="27"/>
        <v>4.3689148687245627E-4</v>
      </c>
      <c r="AR38" s="15">
        <f t="shared" si="28"/>
        <v>4.9741391579724245E-4</v>
      </c>
      <c r="AS38" s="14">
        <f t="shared" si="29"/>
        <v>2.8627661188682929E-3</v>
      </c>
      <c r="AT38" s="14">
        <f t="shared" si="30"/>
        <v>3.0631085131275436E-3</v>
      </c>
      <c r="AU38" s="14">
        <f t="shared" si="31"/>
        <v>3.5951786767953508E-3</v>
      </c>
      <c r="AV38" s="6">
        <f t="shared" si="32"/>
        <v>0.87834869556186257</v>
      </c>
      <c r="AW38" s="6">
        <f t="shared" si="33"/>
        <v>0.87517386089358384</v>
      </c>
      <c r="AX38" s="6">
        <f t="shared" si="34"/>
        <v>0.87845994817623951</v>
      </c>
      <c r="AY38" s="14">
        <f t="shared" si="35"/>
        <v>0.12165130443813742</v>
      </c>
      <c r="AZ38" s="14">
        <f t="shared" si="36"/>
        <v>0.12482613910641607</v>
      </c>
      <c r="BA38" s="14">
        <f t="shared" si="37"/>
        <v>0.12154005182376058</v>
      </c>
    </row>
    <row r="39" spans="26:53" x14ac:dyDescent="0.3">
      <c r="Z39" s="6">
        <f t="shared" si="19"/>
        <v>80</v>
      </c>
      <c r="AA39" s="14">
        <v>20</v>
      </c>
      <c r="AB39" s="14">
        <v>40</v>
      </c>
      <c r="AC39" s="14">
        <v>20</v>
      </c>
      <c r="AD39" s="6">
        <v>23.029909329999999</v>
      </c>
      <c r="AE39" s="6">
        <v>45.564180810000003</v>
      </c>
      <c r="AF39" s="6">
        <v>23.02990986</v>
      </c>
      <c r="AG39" s="14">
        <f t="shared" si="20"/>
        <v>0.25</v>
      </c>
      <c r="AH39" s="14">
        <f t="shared" si="21"/>
        <v>0.5</v>
      </c>
      <c r="AI39" s="14">
        <f t="shared" si="22"/>
        <v>0.25</v>
      </c>
      <c r="AJ39" s="6">
        <v>0.25801114130000002</v>
      </c>
      <c r="AK39" s="6">
        <v>0.49680245760000002</v>
      </c>
      <c r="AL39" s="6">
        <v>0.24518640110000001</v>
      </c>
      <c r="AM39" s="14">
        <f t="shared" si="23"/>
        <v>2.3437499999999999E-3</v>
      </c>
      <c r="AN39" s="14">
        <f t="shared" si="24"/>
        <v>3.1250000000000002E-3</v>
      </c>
      <c r="AO39" s="14">
        <f t="shared" si="25"/>
        <v>2.3437499999999999E-3</v>
      </c>
      <c r="AP39" s="6">
        <f t="shared" si="26"/>
        <v>5.1995982812921165E-4</v>
      </c>
      <c r="AQ39" s="6">
        <f t="shared" si="27"/>
        <v>6.7897876880672434E-4</v>
      </c>
      <c r="AR39" s="15">
        <f t="shared" si="28"/>
        <v>5.0265504108726669E-4</v>
      </c>
      <c r="AS39" s="14">
        <f t="shared" si="29"/>
        <v>1.8237901718707883E-3</v>
      </c>
      <c r="AT39" s="14">
        <f t="shared" si="30"/>
        <v>2.4460212311932759E-3</v>
      </c>
      <c r="AU39" s="14">
        <f t="shared" si="31"/>
        <v>1.8410949589127332E-3</v>
      </c>
      <c r="AV39" s="6">
        <f t="shared" si="32"/>
        <v>0.77815047333153631</v>
      </c>
      <c r="AW39" s="6">
        <f t="shared" si="33"/>
        <v>0.7827267939818483</v>
      </c>
      <c r="AX39" s="6">
        <f t="shared" si="34"/>
        <v>0.78553384913609958</v>
      </c>
      <c r="AY39" s="14">
        <f t="shared" si="35"/>
        <v>0.22184952666846364</v>
      </c>
      <c r="AZ39" s="14">
        <f t="shared" si="36"/>
        <v>0.21727320601815178</v>
      </c>
      <c r="BA39" s="14">
        <f t="shared" si="37"/>
        <v>0.21446615086390047</v>
      </c>
    </row>
    <row r="40" spans="26:53" x14ac:dyDescent="0.3">
      <c r="Z40" s="6">
        <f t="shared" si="19"/>
        <v>100</v>
      </c>
      <c r="AA40" s="14">
        <v>20</v>
      </c>
      <c r="AB40" s="14">
        <v>30</v>
      </c>
      <c r="AC40" s="14">
        <v>50</v>
      </c>
      <c r="AD40" s="6">
        <v>14.97483939</v>
      </c>
      <c r="AE40" s="6">
        <v>20.887588390000001</v>
      </c>
      <c r="AF40" s="6">
        <v>35.761572180000002</v>
      </c>
      <c r="AG40" s="14">
        <f t="shared" si="20"/>
        <v>0.2</v>
      </c>
      <c r="AH40" s="14">
        <f t="shared" si="21"/>
        <v>0.3</v>
      </c>
      <c r="AI40" s="14">
        <f t="shared" si="22"/>
        <v>0.5</v>
      </c>
      <c r="AJ40" s="6">
        <v>0.208879065</v>
      </c>
      <c r="AK40" s="6">
        <v>0.29440413850000002</v>
      </c>
      <c r="AL40" s="6">
        <v>0.49671679660000001</v>
      </c>
      <c r="AM40" s="14">
        <f t="shared" si="23"/>
        <v>1.6000000000000003E-3</v>
      </c>
      <c r="AN40" s="14">
        <f t="shared" si="24"/>
        <v>2.0999999999999999E-3</v>
      </c>
      <c r="AO40" s="14">
        <f t="shared" si="25"/>
        <v>2.5000000000000001E-3</v>
      </c>
      <c r="AP40" s="6">
        <f t="shared" si="26"/>
        <v>5.6102440350311105E-4</v>
      </c>
      <c r="AQ40" s="6">
        <f t="shared" si="27"/>
        <v>7.0525130144050347E-4</v>
      </c>
      <c r="AR40" s="15">
        <f t="shared" si="28"/>
        <v>8.4872157666124781E-4</v>
      </c>
      <c r="AS40" s="14">
        <f t="shared" si="29"/>
        <v>1.0389755964968894E-3</v>
      </c>
      <c r="AT40" s="14">
        <f t="shared" si="30"/>
        <v>1.3947486985594964E-3</v>
      </c>
      <c r="AU40" s="14">
        <f t="shared" si="31"/>
        <v>1.6512784233387522E-3</v>
      </c>
      <c r="AV40" s="6">
        <f t="shared" si="32"/>
        <v>0.64935974781055572</v>
      </c>
      <c r="AW40" s="6">
        <f t="shared" si="33"/>
        <v>0.66416604693309356</v>
      </c>
      <c r="AX40" s="6">
        <f t="shared" si="34"/>
        <v>0.66051136933550092</v>
      </c>
      <c r="AY40" s="14">
        <f t="shared" si="35"/>
        <v>0.35064025218944433</v>
      </c>
      <c r="AZ40" s="14">
        <f t="shared" si="36"/>
        <v>0.33583395306690644</v>
      </c>
      <c r="BA40" s="14">
        <f t="shared" si="37"/>
        <v>0.33948863066449914</v>
      </c>
    </row>
    <row r="41" spans="26:53" x14ac:dyDescent="0.3">
      <c r="Z41" s="6">
        <f t="shared" si="19"/>
        <v>100</v>
      </c>
      <c r="AA41" s="14">
        <v>23</v>
      </c>
      <c r="AB41" s="14">
        <v>48</v>
      </c>
      <c r="AC41" s="14">
        <v>29</v>
      </c>
      <c r="AD41" s="6">
        <v>16.627157520000001</v>
      </c>
      <c r="AE41" s="6">
        <v>34.160829110000002</v>
      </c>
      <c r="AF41" s="6">
        <v>20.836013319999999</v>
      </c>
      <c r="AG41" s="14">
        <f t="shared" si="20"/>
        <v>0.23</v>
      </c>
      <c r="AH41" s="14">
        <f t="shared" si="21"/>
        <v>0.48</v>
      </c>
      <c r="AI41" s="14">
        <f t="shared" si="22"/>
        <v>0.28999999999999998</v>
      </c>
      <c r="AJ41" s="6">
        <v>0.2381687824</v>
      </c>
      <c r="AK41" s="6">
        <v>0.48065705710000001</v>
      </c>
      <c r="AL41" s="6">
        <v>0.28117416049999999</v>
      </c>
      <c r="AM41" s="14">
        <f t="shared" si="23"/>
        <v>1.771E-3</v>
      </c>
      <c r="AN41" s="14">
        <f t="shared" si="24"/>
        <v>2.496E-3</v>
      </c>
      <c r="AO41" s="14">
        <f t="shared" si="25"/>
        <v>2.0589999999999996E-3</v>
      </c>
      <c r="AP41" s="6">
        <f t="shared" si="26"/>
        <v>6.1600971576761146E-4</v>
      </c>
      <c r="AQ41" s="6">
        <f t="shared" si="27"/>
        <v>8.4748792367797348E-4</v>
      </c>
      <c r="AR41" s="15">
        <f t="shared" si="28"/>
        <v>6.8618788818955391E-4</v>
      </c>
      <c r="AS41" s="14">
        <f t="shared" si="29"/>
        <v>1.1549902842323885E-3</v>
      </c>
      <c r="AT41" s="14">
        <f t="shared" si="30"/>
        <v>1.6485120763220264E-3</v>
      </c>
      <c r="AU41" s="14">
        <f t="shared" si="31"/>
        <v>1.3728121118104456E-3</v>
      </c>
      <c r="AV41" s="6">
        <f t="shared" si="32"/>
        <v>0.65216842700868916</v>
      </c>
      <c r="AW41" s="6">
        <f t="shared" si="33"/>
        <v>0.66046156903927344</v>
      </c>
      <c r="AX41" s="6">
        <f t="shared" si="34"/>
        <v>0.6667373053960397</v>
      </c>
      <c r="AY41" s="14">
        <f t="shared" si="35"/>
        <v>0.34783157299131084</v>
      </c>
      <c r="AZ41" s="14">
        <f t="shared" si="36"/>
        <v>0.33953843096072656</v>
      </c>
      <c r="BA41" s="14">
        <f t="shared" si="37"/>
        <v>0.33326269460396019</v>
      </c>
    </row>
    <row r="42" spans="26:53" x14ac:dyDescent="0.3">
      <c r="Z42" s="6">
        <f t="shared" si="19"/>
        <v>135</v>
      </c>
      <c r="AA42" s="14">
        <v>10</v>
      </c>
      <c r="AB42" s="14">
        <v>90</v>
      </c>
      <c r="AC42" s="14">
        <v>35</v>
      </c>
      <c r="AD42" s="6">
        <v>3.0846749709000001</v>
      </c>
      <c r="AE42" s="6">
        <v>23.931711147800002</v>
      </c>
      <c r="AF42" s="6">
        <v>9.6076138295</v>
      </c>
      <c r="AG42" s="14">
        <f t="shared" si="20"/>
        <v>7.407407407407407E-2</v>
      </c>
      <c r="AH42" s="14">
        <f t="shared" si="21"/>
        <v>0.66666666666666663</v>
      </c>
      <c r="AI42" s="14">
        <f t="shared" si="22"/>
        <v>0.25925925925925924</v>
      </c>
      <c r="AJ42" s="6">
        <v>0.1019220277</v>
      </c>
      <c r="AK42" s="6">
        <v>0.64231567460000005</v>
      </c>
      <c r="AL42" s="6">
        <v>0.25576229769999997</v>
      </c>
      <c r="AM42" s="14">
        <f t="shared" si="23"/>
        <v>5.080526342529086E-4</v>
      </c>
      <c r="AN42" s="14">
        <f t="shared" si="24"/>
        <v>1.6460905349794241E-3</v>
      </c>
      <c r="AO42" s="14">
        <f t="shared" si="25"/>
        <v>1.4225473759081439E-3</v>
      </c>
      <c r="AP42" s="6">
        <f t="shared" si="26"/>
        <v>4.1952691527979058E-4</v>
      </c>
      <c r="AQ42" s="6">
        <f t="shared" si="27"/>
        <v>1.0529946346539531E-3</v>
      </c>
      <c r="AR42" s="15">
        <f t="shared" si="28"/>
        <v>8.7242061902976066E-4</v>
      </c>
      <c r="AS42" s="14">
        <f t="shared" si="29"/>
        <v>8.8525718973118017E-5</v>
      </c>
      <c r="AT42" s="14">
        <f t="shared" si="30"/>
        <v>5.9309590032547094E-4</v>
      </c>
      <c r="AU42" s="14">
        <f t="shared" si="31"/>
        <v>5.5012675687838328E-4</v>
      </c>
      <c r="AV42" s="6">
        <f t="shared" si="32"/>
        <v>0.1742451726547882</v>
      </c>
      <c r="AW42" s="6">
        <f t="shared" si="33"/>
        <v>0.36030575944772358</v>
      </c>
      <c r="AX42" s="6">
        <f t="shared" si="34"/>
        <v>0.38671946270132923</v>
      </c>
      <c r="AY42" s="14">
        <f t="shared" si="35"/>
        <v>0.82575482734521177</v>
      </c>
      <c r="AZ42" s="14">
        <f t="shared" si="36"/>
        <v>0.63969424055227642</v>
      </c>
      <c r="BA42" s="14">
        <f t="shared" si="37"/>
        <v>0.61328053729867071</v>
      </c>
    </row>
    <row r="43" spans="26:53" x14ac:dyDescent="0.3">
      <c r="Z43" s="6">
        <f t="shared" si="19"/>
        <v>143</v>
      </c>
      <c r="AA43" s="14">
        <v>39</v>
      </c>
      <c r="AB43" s="14">
        <v>45</v>
      </c>
      <c r="AC43" s="14">
        <v>59</v>
      </c>
      <c r="AD43" s="6">
        <v>7.8687146180000003</v>
      </c>
      <c r="AE43" s="6">
        <v>9.0833381370000001</v>
      </c>
      <c r="AF43" s="6">
        <v>11.671947230000001</v>
      </c>
      <c r="AG43" s="14">
        <f t="shared" si="20"/>
        <v>0.27272727272727271</v>
      </c>
      <c r="AH43" s="14">
        <f t="shared" si="21"/>
        <v>0.31468531468531469</v>
      </c>
      <c r="AI43" s="14">
        <f t="shared" si="22"/>
        <v>0.41258741258741261</v>
      </c>
      <c r="AJ43" s="6">
        <v>0.27675600420000002</v>
      </c>
      <c r="AK43" s="6">
        <v>0.31281555230000002</v>
      </c>
      <c r="AL43" s="6">
        <v>0.41042844340000001</v>
      </c>
      <c r="AM43" s="14">
        <f t="shared" si="23"/>
        <v>1.3870427093567589E-3</v>
      </c>
      <c r="AN43" s="14">
        <f t="shared" si="24"/>
        <v>1.5081011706763578E-3</v>
      </c>
      <c r="AO43" s="14">
        <f t="shared" si="25"/>
        <v>1.6948184584743831E-3</v>
      </c>
      <c r="AP43" s="6">
        <f t="shared" si="26"/>
        <v>9.7176641761041055E-4</v>
      </c>
      <c r="AQ43" s="6">
        <f t="shared" si="27"/>
        <v>1.0436182302015189E-3</v>
      </c>
      <c r="AR43" s="15">
        <f t="shared" si="28"/>
        <v>1.1747730411394138E-3</v>
      </c>
      <c r="AS43" s="14">
        <f t="shared" si="29"/>
        <v>4.1527629174634834E-4</v>
      </c>
      <c r="AT43" s="14">
        <f t="shared" si="30"/>
        <v>4.6448294047483885E-4</v>
      </c>
      <c r="AU43" s="14">
        <f t="shared" si="31"/>
        <v>5.2004541733496933E-4</v>
      </c>
      <c r="AV43" s="6">
        <f t="shared" si="32"/>
        <v>0.29939690317029438</v>
      </c>
      <c r="AW43" s="6">
        <f t="shared" si="33"/>
        <v>0.30799189703335761</v>
      </c>
      <c r="AX43" s="6">
        <f t="shared" si="34"/>
        <v>0.30684431995335726</v>
      </c>
      <c r="AY43" s="14">
        <f t="shared" si="35"/>
        <v>0.70060309682970556</v>
      </c>
      <c r="AZ43" s="14">
        <f t="shared" si="36"/>
        <v>0.69200810296664239</v>
      </c>
      <c r="BA43" s="14">
        <f t="shared" si="37"/>
        <v>0.69315568004664274</v>
      </c>
    </row>
    <row r="44" spans="26:53" x14ac:dyDescent="0.3">
      <c r="Z44" s="6">
        <f t="shared" si="19"/>
        <v>167</v>
      </c>
      <c r="AA44" s="14">
        <v>20</v>
      </c>
      <c r="AB44" s="14">
        <v>90</v>
      </c>
      <c r="AC44" s="14">
        <v>57</v>
      </c>
      <c r="AD44" s="6">
        <v>0.81338652639999998</v>
      </c>
      <c r="AE44" s="6">
        <v>2.4727124520000001</v>
      </c>
      <c r="AF44" s="6">
        <v>1.337900935</v>
      </c>
      <c r="AG44" s="14">
        <f t="shared" si="20"/>
        <v>0.11976047904191617</v>
      </c>
      <c r="AH44" s="14">
        <f t="shared" si="21"/>
        <v>0.53892215568862278</v>
      </c>
      <c r="AI44" s="14">
        <f t="shared" si="22"/>
        <v>0.3413173652694611</v>
      </c>
      <c r="AJ44" s="6">
        <v>0.1526664992</v>
      </c>
      <c r="AK44" s="6">
        <v>0.56376514010000001</v>
      </c>
      <c r="AL44" s="6">
        <v>0.28356836070000002</v>
      </c>
      <c r="AM44" s="14">
        <f t="shared" si="23"/>
        <v>6.3124495030878391E-4</v>
      </c>
      <c r="AN44" s="14">
        <f t="shared" si="24"/>
        <v>1.487934525727848E-3</v>
      </c>
      <c r="AO44" s="14">
        <f t="shared" si="25"/>
        <v>1.3462264756585291E-3</v>
      </c>
      <c r="AP44" s="6">
        <f t="shared" si="26"/>
        <v>7.3342980758307513E-4</v>
      </c>
      <c r="AQ44" s="6">
        <f t="shared" si="27"/>
        <v>1.3943731702107604E-3</v>
      </c>
      <c r="AR44" s="15">
        <f t="shared" si="28"/>
        <v>1.1518421363183029E-3</v>
      </c>
      <c r="AS44" s="14">
        <f t="shared" si="29"/>
        <v>-1.0218485727429122E-4</v>
      </c>
      <c r="AT44" s="14">
        <f t="shared" si="30"/>
        <v>9.3561355517087592E-5</v>
      </c>
      <c r="AU44" s="14">
        <f t="shared" si="31"/>
        <v>1.9438433934022619E-4</v>
      </c>
      <c r="AV44" s="6">
        <f t="shared" si="32"/>
        <v>-0.1618782965698273</v>
      </c>
      <c r="AW44" s="6">
        <f t="shared" si="33"/>
        <v>6.2880021868785191E-2</v>
      </c>
      <c r="AX44" s="6">
        <f t="shared" si="34"/>
        <v>0.14439200450662645</v>
      </c>
      <c r="AY44" s="14">
        <f t="shared" si="35"/>
        <v>1.1618782965698273</v>
      </c>
      <c r="AZ44" s="14">
        <f t="shared" si="36"/>
        <v>0.93711997813121484</v>
      </c>
      <c r="BA44" s="14">
        <f t="shared" si="37"/>
        <v>0.85560799549337352</v>
      </c>
    </row>
    <row r="45" spans="26:53" x14ac:dyDescent="0.3">
      <c r="Z45" s="6">
        <f t="shared" si="19"/>
        <v>210</v>
      </c>
      <c r="AA45" s="14">
        <v>40</v>
      </c>
      <c r="AB45" s="14">
        <v>80</v>
      </c>
      <c r="AC45" s="14">
        <v>90</v>
      </c>
      <c r="AD45" s="6">
        <v>1</v>
      </c>
      <c r="AE45" s="6">
        <v>1</v>
      </c>
      <c r="AF45" s="6">
        <v>1</v>
      </c>
      <c r="AG45" s="14">
        <f t="shared" si="20"/>
        <v>0.19047619047619047</v>
      </c>
      <c r="AH45" s="14">
        <f t="shared" si="21"/>
        <v>0.38095238095238093</v>
      </c>
      <c r="AI45" s="14">
        <f t="shared" si="22"/>
        <v>0.42857142857142855</v>
      </c>
      <c r="AJ45" s="6">
        <v>0.33865682580000001</v>
      </c>
      <c r="AK45" s="6">
        <v>0.33183995560000001</v>
      </c>
      <c r="AL45" s="6">
        <v>0.32950321859999998</v>
      </c>
      <c r="AM45" s="14">
        <f t="shared" si="23"/>
        <v>7.3426195875175469E-4</v>
      </c>
      <c r="AN45" s="14">
        <f t="shared" si="24"/>
        <v>1.1229888780909189E-3</v>
      </c>
      <c r="AO45" s="14">
        <f t="shared" si="25"/>
        <v>1.1661807580174925E-3</v>
      </c>
      <c r="AP45" s="6">
        <f t="shared" si="26"/>
        <v>1.0366849573321955E-3</v>
      </c>
      <c r="AQ45" s="6">
        <f t="shared" si="27"/>
        <v>1.0262880356223833E-3</v>
      </c>
      <c r="AR45" s="15">
        <f t="shared" si="28"/>
        <v>1.0226250960296795E-3</v>
      </c>
      <c r="AS45" s="14">
        <f t="shared" si="29"/>
        <v>-3.0242299858044077E-4</v>
      </c>
      <c r="AT45" s="14">
        <f t="shared" si="30"/>
        <v>9.67008424685356E-5</v>
      </c>
      <c r="AU45" s="14">
        <f t="shared" si="31"/>
        <v>1.4355566198781295E-4</v>
      </c>
      <c r="AV45" s="6">
        <f t="shared" si="32"/>
        <v>-0.41187343968433265</v>
      </c>
      <c r="AW45" s="6">
        <f t="shared" si="33"/>
        <v>8.6110240586645015E-2</v>
      </c>
      <c r="AX45" s="6">
        <f t="shared" si="34"/>
        <v>0.12309898015454962</v>
      </c>
      <c r="AY45" s="14">
        <f t="shared" si="35"/>
        <v>1.4118734396843327</v>
      </c>
      <c r="AZ45" s="14">
        <f t="shared" si="36"/>
        <v>0.91388975941335493</v>
      </c>
      <c r="BA45" s="14">
        <f t="shared" si="37"/>
        <v>0.87690101984545032</v>
      </c>
    </row>
  </sheetData>
  <sortState ref="A2:AB18">
    <sortCondition ref="A2"/>
  </sortState>
  <mergeCells count="18">
    <mergeCell ref="AA28:AC28"/>
    <mergeCell ref="AD28:AF28"/>
    <mergeCell ref="AG28:AI28"/>
    <mergeCell ref="AJ28:AL28"/>
    <mergeCell ref="AM28:AO28"/>
    <mergeCell ref="AP28:AR28"/>
    <mergeCell ref="AS28:AU28"/>
    <mergeCell ref="AV28:AX28"/>
    <mergeCell ref="AY28:BA28"/>
    <mergeCell ref="T1:V1"/>
    <mergeCell ref="W1:Y1"/>
    <mergeCell ref="Z1:AB1"/>
    <mergeCell ref="B1:D1"/>
    <mergeCell ref="H1:J1"/>
    <mergeCell ref="K1:M1"/>
    <mergeCell ref="N1:P1"/>
    <mergeCell ref="Q1:S1"/>
    <mergeCell ref="E1:G1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B971-C7A9-4A8F-A082-E308330C7CC8}">
  <sheetPr codeName="Sheet1"/>
  <dimension ref="A1"/>
  <sheetViews>
    <sheetView workbookViewId="0">
      <selection sqref="A1:XFD1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RAJARSI</dc:creator>
  <cp:lastModifiedBy>RAJARSI</cp:lastModifiedBy>
  <dcterms:created xsi:type="dcterms:W3CDTF">2019-03-27T14:23:01Z</dcterms:created>
  <dcterms:modified xsi:type="dcterms:W3CDTF">2019-04-01T06:06:52Z</dcterms:modified>
</cp:coreProperties>
</file>